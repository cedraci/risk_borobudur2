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Laurent\Desktop\CC\riskborobudur\"/>
    </mc:Choice>
  </mc:AlternateContent>
  <xr:revisionPtr revIDLastSave="0" documentId="13_ncr:1_{80F97079-C7B6-4F35-925E-8E1208451854}" xr6:coauthVersionLast="47" xr6:coauthVersionMax="47" xr10:uidLastSave="{00000000-0000-0000-0000-000000000000}"/>
  <bookViews>
    <workbookView xWindow="28800" yWindow="3510" windowWidth="29010" windowHeight="11295" xr2:uid="{055BAE4A-4616-451E-A206-3A541DCC54EC}"/>
  </bookViews>
  <sheets>
    <sheet name="PORTEFEUILLE_NAV" sheetId="2" r:id="rId1"/>
    <sheet name="HISTO_NAV" sheetId="3" r:id="rId2"/>
    <sheet name="DIV" sheetId="4" r:id="rId3"/>
    <sheet name="OPERATIONS" sheetId="5" r:id="rId4"/>
  </sheets>
  <definedNames>
    <definedName name="_xlnm._FilterDatabase" localSheetId="0" hidden="1">PORTEFEUILLE_NAV!$A$7:$M$68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21" i="2" l="1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I4" i="2"/>
</calcChain>
</file>

<file path=xl/sharedStrings.xml><?xml version="1.0" encoding="utf-8"?>
<sst xmlns="http://schemas.openxmlformats.org/spreadsheetml/2006/main" count="15010" uniqueCount="921">
  <si>
    <t>AUM Totaux</t>
  </si>
  <si>
    <t>Date NAV</t>
  </si>
  <si>
    <t>Nb de parts</t>
  </si>
  <si>
    <t xml:space="preserve"> </t>
  </si>
  <si>
    <t>NAV</t>
  </si>
  <si>
    <t>Portefeuille</t>
  </si>
  <si>
    <t>Type d'actif</t>
  </si>
  <si>
    <t>ISIN</t>
  </si>
  <si>
    <t>Intitulé</t>
  </si>
  <si>
    <t>Dev</t>
  </si>
  <si>
    <t>Qté</t>
  </si>
  <si>
    <t>PAM</t>
  </si>
  <si>
    <t>Prix</t>
  </si>
  <si>
    <t>Valorisation Dev</t>
  </si>
  <si>
    <t>dont Interet composés</t>
  </si>
  <si>
    <t>Change</t>
  </si>
  <si>
    <t>Valorisation EUR</t>
  </si>
  <si>
    <t>Poids</t>
  </si>
  <si>
    <t>Action</t>
  </si>
  <si>
    <t>GRS145003000</t>
  </si>
  <si>
    <t>GEK TERNA SA</t>
  </si>
  <si>
    <t>EUR</t>
  </si>
  <si>
    <t>FR0000120859</t>
  </si>
  <si>
    <t>IMERYS SA</t>
  </si>
  <si>
    <t>FR0000121014</t>
  </si>
  <si>
    <t>LVMH MOET HENNESSY LOUIS VUI</t>
  </si>
  <si>
    <t>FR0000121485</t>
  </si>
  <si>
    <t>KERING</t>
  </si>
  <si>
    <t>FR0000121972</t>
  </si>
  <si>
    <t>SCHNEIDER ELECTRIC SE</t>
  </si>
  <si>
    <t>FR0005691656</t>
  </si>
  <si>
    <t>TRIGANO SA</t>
  </si>
  <si>
    <t>FR001400Q9V2</t>
  </si>
  <si>
    <t>EXOSENS SAS</t>
  </si>
  <si>
    <t>GB0007188757</t>
  </si>
  <si>
    <t>RIO TINTO PLC</t>
  </si>
  <si>
    <t>GBP</t>
  </si>
  <si>
    <t>GB00B2B0DG97</t>
  </si>
  <si>
    <t>RELX PLC</t>
  </si>
  <si>
    <t>GB00B2QPKJ12</t>
  </si>
  <si>
    <t>FRESNILLO PLC</t>
  </si>
  <si>
    <t>GB00B63H8491</t>
  </si>
  <si>
    <t>ROLLS-ROYCE HOLDINGS PLC</t>
  </si>
  <si>
    <t>GB00BP6MXD84</t>
  </si>
  <si>
    <t>SHELL PLC</t>
  </si>
  <si>
    <t>FR0012757854</t>
  </si>
  <si>
    <t>SPIE SA</t>
  </si>
  <si>
    <t>IE0001827041</t>
  </si>
  <si>
    <t>CRH PLC</t>
  </si>
  <si>
    <t>USD</t>
  </si>
  <si>
    <t>IT0000066123</t>
  </si>
  <si>
    <t>BPER BANCA SPA</t>
  </si>
  <si>
    <t>IT0003856405</t>
  </si>
  <si>
    <t>LEONARDO SPA</t>
  </si>
  <si>
    <t>IT0005495657</t>
  </si>
  <si>
    <t>SAIPEM SPA</t>
  </si>
  <si>
    <t>NL0011540547</t>
  </si>
  <si>
    <t>ABN AMRO BANK NV-CVA</t>
  </si>
  <si>
    <t>NL0014559478</t>
  </si>
  <si>
    <t>TECHNIP ENERGIES NV</t>
  </si>
  <si>
    <t>NL0015001FS8</t>
  </si>
  <si>
    <t>FERROVIAL NV</t>
  </si>
  <si>
    <t>US02079K1079</t>
  </si>
  <si>
    <t>ALPHABET INC-CL C</t>
  </si>
  <si>
    <t>US5324571083</t>
  </si>
  <si>
    <t>ELI LILLY &amp; CO</t>
  </si>
  <si>
    <t>US58733R1023</t>
  </si>
  <si>
    <t>MERCADOLIBRE INC</t>
  </si>
  <si>
    <t>US6516391066</t>
  </si>
  <si>
    <t>NEWMONT CORP</t>
  </si>
  <si>
    <t>ES0132105018</t>
  </si>
  <si>
    <t>ACERINOX SA</t>
  </si>
  <si>
    <t>AT0000606306</t>
  </si>
  <si>
    <t>RAIFFEISEN BANK INTERNATIONA</t>
  </si>
  <si>
    <t>BMG4209G2077</t>
  </si>
  <si>
    <t>GULF KEYSTONE PETROLEUM LTD</t>
  </si>
  <si>
    <t>AT000000STR1</t>
  </si>
  <si>
    <t>STRABAG SE-BR</t>
  </si>
  <si>
    <t>ES0178165017</t>
  </si>
  <si>
    <t>TECNICAS REUNIDAS SA</t>
  </si>
  <si>
    <t>CH0012214059</t>
  </si>
  <si>
    <t>HOLCIM LTD</t>
  </si>
  <si>
    <t>CHF</t>
  </si>
  <si>
    <t>CH0210483332</t>
  </si>
  <si>
    <t>CIE FINANCIERE RICHEMO-A REG</t>
  </si>
  <si>
    <t>CH0319416936</t>
  </si>
  <si>
    <t>FLUGHAFEN ZURICH AG-REG</t>
  </si>
  <si>
    <t>CH0418792922</t>
  </si>
  <si>
    <t>SIKA AG-REG</t>
  </si>
  <si>
    <t>DE0005909006</t>
  </si>
  <si>
    <t>BILFINGER SE</t>
  </si>
  <si>
    <t>DE000A0D9PT0</t>
  </si>
  <si>
    <t>MTU AERO ENGINES AG</t>
  </si>
  <si>
    <t>DE000ENER6Y0</t>
  </si>
  <si>
    <t>SIEMENS ENERGY AG</t>
  </si>
  <si>
    <t>ES0105046017</t>
  </si>
  <si>
    <t>AENA SME SA</t>
  </si>
  <si>
    <t>ES0109067019</t>
  </si>
  <si>
    <t>AMADEUS IT GROUP SA</t>
  </si>
  <si>
    <t>ES0113900J37</t>
  </si>
  <si>
    <t>BANCO SANTANDER SA</t>
  </si>
  <si>
    <t>Fonds</t>
  </si>
  <si>
    <t>LU1112771255</t>
  </si>
  <si>
    <t>HELIUM SELECTION A EUR</t>
  </si>
  <si>
    <t>LU1331974276</t>
  </si>
  <si>
    <t>Eleva UCITS Fund - Fonds Eleva Absolute Return Europe S (EU</t>
  </si>
  <si>
    <t>LU1681045024</t>
  </si>
  <si>
    <t>AMUNDI MSCI EM LATIN AMERICA UCITS ETF - EUR C</t>
  </si>
  <si>
    <t>LU1995653893</t>
  </si>
  <si>
    <t>HELIUM INVEST A EUR</t>
  </si>
  <si>
    <t>LU2061939216</t>
  </si>
  <si>
    <t>IVO GLOBAL HIGH YIELD EUR-I Cap</t>
  </si>
  <si>
    <t>LU2061939646</t>
  </si>
  <si>
    <t>IVO EM Corp Debt Short Duration SRI EUR-I Cap</t>
  </si>
  <si>
    <t>IE000195JL60</t>
  </si>
  <si>
    <t>EI STURDZA FUNDS PLC - STRATEGIC LONG SHORT B EUR HDG ACC</t>
  </si>
  <si>
    <t>IE00BMWXKN31</t>
  </si>
  <si>
    <t>HSBC HANG SENG TECH UCITS ETF</t>
  </si>
  <si>
    <t>GB00B15KYH63</t>
  </si>
  <si>
    <t>WT AGRICULTURE</t>
  </si>
  <si>
    <t>GB00B00FHZ82</t>
  </si>
  <si>
    <t>Gold Bullion Securities</t>
  </si>
  <si>
    <t>DE000A1EK0G3</t>
  </si>
  <si>
    <t>Xtrackers Physical Gold EUR Hedged ETC</t>
  </si>
  <si>
    <t>FR0014008B43</t>
  </si>
  <si>
    <t>SANSO OBLIGATIONS 12 MOIS parts C</t>
  </si>
  <si>
    <t>FR0010599399</t>
  </si>
  <si>
    <t>BFT AUREUS ISR I C</t>
  </si>
  <si>
    <t>Future</t>
  </si>
  <si>
    <t>ICF____Q6</t>
  </si>
  <si>
    <t>CAC40 10 EUR /202608</t>
  </si>
  <si>
    <t>FINL000009E0</t>
  </si>
  <si>
    <t>EURO STOXX 50 0926</t>
  </si>
  <si>
    <t>FBOL000001D3</t>
  </si>
  <si>
    <t>US 10YR NOTE 0926</t>
  </si>
  <si>
    <t>FFXL0000033X</t>
  </si>
  <si>
    <t>EUR/JPY  (CM /202609</t>
  </si>
  <si>
    <t>JPY</t>
  </si>
  <si>
    <t>FBOL000001D1</t>
  </si>
  <si>
    <t>EURO BOND</t>
  </si>
  <si>
    <t>FBOL000001CO</t>
  </si>
  <si>
    <t>EURO-OAT-FUT /202609</t>
  </si>
  <si>
    <t>FINL000009DT</t>
  </si>
  <si>
    <t>NASDAQ 100 E- 0926</t>
  </si>
  <si>
    <t>CKOA_____U6</t>
  </si>
  <si>
    <t>EURO-BONO SP /202609</t>
  </si>
  <si>
    <t>Obligation</t>
  </si>
  <si>
    <t>US105756CL22</t>
  </si>
  <si>
    <t>BRAZILIAN GOVERNMENT INTL BOND 6.625% 15-03-35</t>
  </si>
  <si>
    <t>CASH</t>
  </si>
  <si>
    <t>Type</t>
  </si>
  <si>
    <t>Code</t>
  </si>
  <si>
    <t>Interet composés</t>
  </si>
  <si>
    <t>Cash Acc</t>
  </si>
  <si>
    <t>BK001CHF</t>
  </si>
  <si>
    <t>Depositary Bk- CBLU</t>
  </si>
  <si>
    <t>BK001DKK</t>
  </si>
  <si>
    <t>DKK</t>
  </si>
  <si>
    <t>BK001EUR</t>
  </si>
  <si>
    <t>BK001GBP</t>
  </si>
  <si>
    <t>BK001JPY</t>
  </si>
  <si>
    <t>BK001SEK</t>
  </si>
  <si>
    <t>SEK</t>
  </si>
  <si>
    <t>BK001USD</t>
  </si>
  <si>
    <t>Dividendes</t>
  </si>
  <si>
    <t>Frais provisionnés</t>
  </si>
  <si>
    <t>FP201EUR</t>
  </si>
  <si>
    <t>NAV calculation fees</t>
  </si>
  <si>
    <t>FP202EUR</t>
  </si>
  <si>
    <t>Custody fees</t>
  </si>
  <si>
    <t>FP203EUR</t>
  </si>
  <si>
    <t>Sub-custody fees</t>
  </si>
  <si>
    <t>FP204EUR</t>
  </si>
  <si>
    <t>Safekeeping fees</t>
  </si>
  <si>
    <t>FP206EUR</t>
  </si>
  <si>
    <t>Domiciliary fees</t>
  </si>
  <si>
    <t>FP207EUR</t>
  </si>
  <si>
    <t>Transfer agency fee</t>
  </si>
  <si>
    <t>FP208EUR</t>
  </si>
  <si>
    <t>Administration fees</t>
  </si>
  <si>
    <t>FP222EUR</t>
  </si>
  <si>
    <t>Var Tr. Agent fees</t>
  </si>
  <si>
    <t>FP301EURC1</t>
  </si>
  <si>
    <t>Management fees</t>
  </si>
  <si>
    <t>FP305EUR</t>
  </si>
  <si>
    <t>Managem company fees</t>
  </si>
  <si>
    <t>FP501EUR</t>
  </si>
  <si>
    <t>Audit fees</t>
  </si>
  <si>
    <t>FP603EURC1</t>
  </si>
  <si>
    <t>Ucits taxes</t>
  </si>
  <si>
    <t>PF201EUR</t>
  </si>
  <si>
    <t>Payable-NAV calculat</t>
  </si>
  <si>
    <t>PF202EUR</t>
  </si>
  <si>
    <t>Payable-Custody fees</t>
  </si>
  <si>
    <t>PF203EUR</t>
  </si>
  <si>
    <t>Payabl-Sub-cust fees</t>
  </si>
  <si>
    <t>PF204EUR</t>
  </si>
  <si>
    <t>Payabl-Safekeep fees</t>
  </si>
  <si>
    <t>PF206EUR</t>
  </si>
  <si>
    <t>Payable-Domiciliary</t>
  </si>
  <si>
    <t>PF207EUR</t>
  </si>
  <si>
    <t>Pay-Transfer agency</t>
  </si>
  <si>
    <t>PF208EUR</t>
  </si>
  <si>
    <t>Payable-Administrat.</t>
  </si>
  <si>
    <t>PF211EUR</t>
  </si>
  <si>
    <t>Payable-Publication</t>
  </si>
  <si>
    <t>PF216EUR</t>
  </si>
  <si>
    <t>Payab-Directors fees</t>
  </si>
  <si>
    <t>PF222EUR</t>
  </si>
  <si>
    <t>Pay-Variable TA fees</t>
  </si>
  <si>
    <t>PF226EUR</t>
  </si>
  <si>
    <t>Payable-Compl. fees</t>
  </si>
  <si>
    <t>PF296EUR</t>
  </si>
  <si>
    <t>Payable-SFDR fees</t>
  </si>
  <si>
    <t>PF301EURC1</t>
  </si>
  <si>
    <t>Payable-Managem fees</t>
  </si>
  <si>
    <t>PF305EUR</t>
  </si>
  <si>
    <t>Pay-Manag comp. fees</t>
  </si>
  <si>
    <t>PF501EUR</t>
  </si>
  <si>
    <t>Payable-Audit fees</t>
  </si>
  <si>
    <t>PF608EUR</t>
  </si>
  <si>
    <t>Pay-foreign authorit</t>
  </si>
  <si>
    <t>PF910EUR</t>
  </si>
  <si>
    <t>Payable-Report. fees</t>
  </si>
  <si>
    <t>Margin Acc</t>
  </si>
  <si>
    <t>CG1C7EUR</t>
  </si>
  <si>
    <t>Managed acc - CABK</t>
  </si>
  <si>
    <t>CG1C7JPY</t>
  </si>
  <si>
    <t>CG1C7USD</t>
  </si>
  <si>
    <t>DG1C7EUR</t>
  </si>
  <si>
    <t>Guar. deposit- CABK</t>
  </si>
  <si>
    <t>DG1C7JPY</t>
  </si>
  <si>
    <t>DG1C7USD</t>
  </si>
  <si>
    <t>MA1C7EUR</t>
  </si>
  <si>
    <t>Margin deposit- CABK</t>
  </si>
  <si>
    <t>MA1C7JPY</t>
  </si>
  <si>
    <t>MA1C7USD</t>
  </si>
  <si>
    <t>Provisions ordres</t>
  </si>
  <si>
    <t>PSEUR</t>
  </si>
  <si>
    <t>Payable on Security</t>
  </si>
  <si>
    <t>PSGBP</t>
  </si>
  <si>
    <t>RSEUR</t>
  </si>
  <si>
    <t>Receiv-Security</t>
  </si>
  <si>
    <t>Date</t>
  </si>
  <si>
    <t>AUM</t>
  </si>
  <si>
    <t>Nb parts</t>
  </si>
  <si>
    <t>Date de provisions</t>
  </si>
  <si>
    <t>Date paiments</t>
  </si>
  <si>
    <t>Emeteur</t>
  </si>
  <si>
    <t>Montant devise</t>
  </si>
  <si>
    <t>Devise</t>
  </si>
  <si>
    <t>VINCI SA</t>
  </si>
  <si>
    <t>UNICREDIT SPA</t>
  </si>
  <si>
    <t>LOUIS HACHETTE GRP</t>
  </si>
  <si>
    <t>RHEINMETALL</t>
  </si>
  <si>
    <t>HEIDELBERG MATERIALS</t>
  </si>
  <si>
    <t>AIR LIQUIDE</t>
  </si>
  <si>
    <t>IMERYS</t>
  </si>
  <si>
    <t>VALLOUREC</t>
  </si>
  <si>
    <t>SAFRAN</t>
  </si>
  <si>
    <t>FERROVIAL SE</t>
  </si>
  <si>
    <t>IPSOS</t>
  </si>
  <si>
    <t>RUBIS</t>
  </si>
  <si>
    <t>ALPHABET INC-A</t>
  </si>
  <si>
    <t>RYANAIR HOLDINGS PLC</t>
  </si>
  <si>
    <t>BARRICK MINING CORP</t>
  </si>
  <si>
    <t>ALLEGION PLC</t>
  </si>
  <si>
    <t>TRIGANO</t>
  </si>
  <si>
    <t>ATLAS COPCO AB</t>
  </si>
  <si>
    <t>PENTAIR PLC</t>
  </si>
  <si>
    <t xml:space="preserve"> 03/11/2025</t>
  </si>
  <si>
    <t>BANCO SANTANDER</t>
  </si>
  <si>
    <t>CRH PLC CRH LN Equity</t>
  </si>
  <si>
    <t>KERING SA</t>
  </si>
  <si>
    <t>KONE OYJ-B</t>
  </si>
  <si>
    <t>GENERAL ELECTRIC</t>
  </si>
  <si>
    <t>ANDRITZ AG</t>
  </si>
  <si>
    <t>VESTAS WIND SYSTEMS A/S</t>
  </si>
  <si>
    <t>CONTEMPORARY AMPEREX TECHN-H</t>
  </si>
  <si>
    <t>ANTOFAGASTA</t>
  </si>
  <si>
    <t>ASML HOLDING NV</t>
  </si>
  <si>
    <t>BOUYGUES SA</t>
  </si>
  <si>
    <t>COMPAGNIE DE SAINT GOBAIN</t>
  </si>
  <si>
    <t>Sens</t>
  </si>
  <si>
    <t>Ticker</t>
  </si>
  <si>
    <t>Montant Brut Dev</t>
  </si>
  <si>
    <t>Frais opération</t>
  </si>
  <si>
    <t>Prix net</t>
  </si>
  <si>
    <t>Montant Net Dev</t>
  </si>
  <si>
    <t>Achat</t>
  </si>
  <si>
    <t>SPIE FP Equity</t>
  </si>
  <si>
    <t>ALHG FP Equity</t>
  </si>
  <si>
    <t>FR001400TL40</t>
  </si>
  <si>
    <t>LOUIS HACHETTE GROUP</t>
  </si>
  <si>
    <t>HOLN SE Equity</t>
  </si>
  <si>
    <t>Holcim AG</t>
  </si>
  <si>
    <t>XAD1 IM equity</t>
  </si>
  <si>
    <t>XTRACKER GOLD ETC EUR HDG</t>
  </si>
  <si>
    <t>DTLE LN equity</t>
  </si>
  <si>
    <t>IE00BD8PGZ49</t>
  </si>
  <si>
    <t>ISHARES USD TREASURY BOND 20+Y</t>
  </si>
  <si>
    <t>GBS FP Equity</t>
  </si>
  <si>
    <t>GOLD BULLION SECURITIES LTD EUR</t>
  </si>
  <si>
    <t>ES0000012N35 Corp</t>
  </si>
  <si>
    <t>ES0000012N35</t>
  </si>
  <si>
    <t>BONOS Y OBLIG DEL ESTADO 3.45 AT MATURITY</t>
  </si>
  <si>
    <t>IVFISIE LX Equity</t>
  </si>
  <si>
    <t>IVO EMG MKT CDT SHORT DUR-I</t>
  </si>
  <si>
    <t>VK FP Equity</t>
  </si>
  <si>
    <t>FR0013506730</t>
  </si>
  <si>
    <t>VALLOUREC SA</t>
  </si>
  <si>
    <t>SAF FP Equity</t>
  </si>
  <si>
    <t>FR0000073272</t>
  </si>
  <si>
    <t>SAFRAN SA</t>
  </si>
  <si>
    <t>RYA ID Equity</t>
  </si>
  <si>
    <t>IE00BYTBXV33</t>
  </si>
  <si>
    <t>KNEBV FH Equity</t>
  </si>
  <si>
    <t>FI0009013403</t>
  </si>
  <si>
    <t>NK FP Equity</t>
  </si>
  <si>
    <t>Vente</t>
  </si>
  <si>
    <t>ZEG LN Equity</t>
  </si>
  <si>
    <t>GB00BVGBY890</t>
  </si>
  <si>
    <t>ZEGONA COMMUNICATIONS PLC</t>
  </si>
  <si>
    <t>FRES LN Equity</t>
  </si>
  <si>
    <t xml:space="preserve">FRESNILLO </t>
  </si>
  <si>
    <t>CRH LN Equity</t>
  </si>
  <si>
    <t>DG FP Equity</t>
  </si>
  <si>
    <t>FR0000125486</t>
  </si>
  <si>
    <t>RHM GR Equity</t>
  </si>
  <si>
    <t>DE0007030009</t>
  </si>
  <si>
    <t>RHEINMETALL AG</t>
  </si>
  <si>
    <t>ADYEN NA Equity</t>
  </si>
  <si>
    <t>NL0012969182</t>
  </si>
  <si>
    <t>ADYEN NV</t>
  </si>
  <si>
    <t>UCG IM Equity</t>
  </si>
  <si>
    <t>IT0005239360</t>
  </si>
  <si>
    <t>UNICREDITSPA</t>
  </si>
  <si>
    <t>CFJ5 Index</t>
  </si>
  <si>
    <t>CAC40 10 EURO FUT APR25</t>
  </si>
  <si>
    <t>HEI GR Equity</t>
  </si>
  <si>
    <t>DE0006047004</t>
  </si>
  <si>
    <t>HEIDELBERGCEMENT AG</t>
  </si>
  <si>
    <t>SGO FP Equity</t>
  </si>
  <si>
    <t>FR0000125007</t>
  </si>
  <si>
    <t>RXM5 Comdty</t>
  </si>
  <si>
    <t>FBOL0000017G</t>
  </si>
  <si>
    <t>EURO-BUND FUTURE  JUN25</t>
  </si>
  <si>
    <t>CFK5 Index</t>
  </si>
  <si>
    <t>ICF____K5</t>
  </si>
  <si>
    <t>CAC40 10 EURO FUT MAY25</t>
  </si>
  <si>
    <t>RWE GR Equity</t>
  </si>
  <si>
    <t>DE0007037129</t>
  </si>
  <si>
    <t>RWE AG</t>
  </si>
  <si>
    <t>XAD1 IM Equity</t>
  </si>
  <si>
    <t>AI FP Equity</t>
  </si>
  <si>
    <t>FR0000120073</t>
  </si>
  <si>
    <t>AIR LIQUIDE SA</t>
  </si>
  <si>
    <t>SPGB 3.45 10/31/34</t>
  </si>
  <si>
    <t>MMB FP Equity</t>
  </si>
  <si>
    <t>FR0000130213</t>
  </si>
  <si>
    <t>LAGARDERE SCA</t>
  </si>
  <si>
    <t>ENR GR Equity</t>
  </si>
  <si>
    <t>Ryanair Holdings PLC</t>
  </si>
  <si>
    <t>GOLD BULL. 0%PERP.</t>
  </si>
  <si>
    <t>TYM5 Comdty</t>
  </si>
  <si>
    <t>FBOL0000017F</t>
  </si>
  <si>
    <t>US 10YR NOTE (CBT)Jun25</t>
  </si>
  <si>
    <t>EURO-BUND FUTURE  Jun25</t>
  </si>
  <si>
    <t>DFWM5 Index</t>
  </si>
  <si>
    <t>IDFW___M5</t>
  </si>
  <si>
    <t>DAX Mini Future   Jun25</t>
  </si>
  <si>
    <t>CAC40 10 EURO FUT May25</t>
  </si>
  <si>
    <t>CFM5 Index</t>
  </si>
  <si>
    <t>ICF____M5</t>
  </si>
  <si>
    <t>CAC40 10 EURO FUT Jun25</t>
  </si>
  <si>
    <t>ALO FP Equity</t>
  </si>
  <si>
    <t>FR0010220475</t>
  </si>
  <si>
    <t>ALSTOM</t>
  </si>
  <si>
    <t>STLNSEB ID EQUITY</t>
  </si>
  <si>
    <t>EI ST-STRAT LNG SHR FN-B EUR</t>
  </si>
  <si>
    <t>RMS FP Equity</t>
  </si>
  <si>
    <t>FR0000052292</t>
  </si>
  <si>
    <t>HERMES INTERNATIONAL</t>
  </si>
  <si>
    <t>G M5 COMDTY</t>
  </si>
  <si>
    <t>FBOL0000017M</t>
  </si>
  <si>
    <t>LONG GILT FUTURE  Jun25</t>
  </si>
  <si>
    <t>FER SM Equity</t>
  </si>
  <si>
    <t>FERROVIAL SA</t>
  </si>
  <si>
    <t>IKM5 Comdty</t>
  </si>
  <si>
    <t>FBOL0000017J</t>
  </si>
  <si>
    <t>Euro-BTP Future   Jun25</t>
  </si>
  <si>
    <t>HERMES INTL ACT.</t>
  </si>
  <si>
    <t>AMBUB DC Equity</t>
  </si>
  <si>
    <t>DK0060946788</t>
  </si>
  <si>
    <t>AMBU A/S</t>
  </si>
  <si>
    <t>GBp</t>
  </si>
  <si>
    <t>TYU5 Comdty</t>
  </si>
  <si>
    <t>CTYU___U5</t>
  </si>
  <si>
    <t>US 10YR NOTE (CBT)SEP25</t>
  </si>
  <si>
    <t>VENTE</t>
  </si>
  <si>
    <t>LONG GILT FUTURE JUN</t>
  </si>
  <si>
    <t>G U5 Comdty</t>
  </si>
  <si>
    <t>G U___Q5</t>
  </si>
  <si>
    <t>LONG GILT FUTURE  SEP25</t>
  </si>
  <si>
    <t>IPS FP Equity</t>
  </si>
  <si>
    <t>FR0000073298</t>
  </si>
  <si>
    <t>IKU5 Comdty</t>
  </si>
  <si>
    <t>CIKU___N4</t>
  </si>
  <si>
    <t>EURO-BTP FUTURE   SEP25</t>
  </si>
  <si>
    <t>RYM5 curncy</t>
  </si>
  <si>
    <t>FFXL000002UV</t>
  </si>
  <si>
    <t>EURO/JPY FUTURE   JUN25</t>
  </si>
  <si>
    <t>GOOGL US Equity</t>
  </si>
  <si>
    <t>US02079K3059</t>
  </si>
  <si>
    <t>ALPHABET INC-CL A</t>
  </si>
  <si>
    <t>NOVOB DC Equity</t>
  </si>
  <si>
    <t>DK0062498333</t>
  </si>
  <si>
    <t>NOVO NORDISK A/S-B</t>
  </si>
  <si>
    <t>USU5 Comdty</t>
  </si>
  <si>
    <t>FBOL0000018Q</t>
  </si>
  <si>
    <t>US LONG BOND(CBT) Sep25</t>
  </si>
  <si>
    <t>UBER US Equity</t>
  </si>
  <si>
    <t>US90353T1007</t>
  </si>
  <si>
    <t>UBER TECHNOLOGIES INC</t>
  </si>
  <si>
    <t>RR/ LN Equity</t>
  </si>
  <si>
    <t>IPLT LN Equity</t>
  </si>
  <si>
    <t>IE00B4LHWP62</t>
  </si>
  <si>
    <t>ISHARES PHYSICAL PLATINUM</t>
  </si>
  <si>
    <t>RXU5 Comdty</t>
  </si>
  <si>
    <t>FBOL0000018J</t>
  </si>
  <si>
    <t>EURO-BUND FUTURE  Sep25</t>
  </si>
  <si>
    <t>Euro-BTP Future   Sep25</t>
  </si>
  <si>
    <t>ROG SW Equity</t>
  </si>
  <si>
    <t>CH0012032048</t>
  </si>
  <si>
    <t>ROCHE HOLDING AG-GENUSSCHEIN</t>
  </si>
  <si>
    <t>SAN SM Equity</t>
  </si>
  <si>
    <t>RUI FP Equity</t>
  </si>
  <si>
    <t>FR0013269123</t>
  </si>
  <si>
    <t>RYU5 Curncy</t>
  </si>
  <si>
    <t>FFXL000002WZ</t>
  </si>
  <si>
    <t>EURO/JPY FUTURE   Sep25</t>
  </si>
  <si>
    <t>RYM5 Curncy</t>
  </si>
  <si>
    <t>EURO/JPY FUTURE   Jun25</t>
  </si>
  <si>
    <t>DFWU5 Index</t>
  </si>
  <si>
    <t>IDFW____U5</t>
  </si>
  <si>
    <t>DAX Mini Future   Sep25</t>
  </si>
  <si>
    <t>CFU5 Index</t>
  </si>
  <si>
    <t>ICF____U5</t>
  </si>
  <si>
    <t>CAC40 10 EURO FUT SEP25</t>
  </si>
  <si>
    <t>NOVO NORDISK A/S</t>
  </si>
  <si>
    <t>HSTE FP EQUITY</t>
  </si>
  <si>
    <t>HSBC HANG SENG TECH UCITS ET</t>
  </si>
  <si>
    <t>ATCOA SS Equity</t>
  </si>
  <si>
    <t>SE0017486889</t>
  </si>
  <si>
    <t>ATLAS COPCO AB-A SHS</t>
  </si>
  <si>
    <t>KOAU5 Comdty</t>
  </si>
  <si>
    <t>CKOA___U5</t>
  </si>
  <si>
    <t>Euro-BONO Sp Gov  Sep25</t>
  </si>
  <si>
    <t>SGSN SW Equity</t>
  </si>
  <si>
    <t>CH1256740924</t>
  </si>
  <si>
    <t>SGS SA-REG</t>
  </si>
  <si>
    <t>SAM US Equity</t>
  </si>
  <si>
    <t>US1005571070</t>
  </si>
  <si>
    <t>BOSTON BEER COMPANY INC-A</t>
  </si>
  <si>
    <t>B US Equity</t>
  </si>
  <si>
    <t>CA06849F1080</t>
  </si>
  <si>
    <t>FBOL00000191</t>
  </si>
  <si>
    <t>US 10YR NOTE (CBT)Sep25</t>
  </si>
  <si>
    <t>HOOD US Equity</t>
  </si>
  <si>
    <t>US7707001027</t>
  </si>
  <si>
    <t>ROBINHOOD MARKETS INC - A</t>
  </si>
  <si>
    <t>MARA US Equity</t>
  </si>
  <si>
    <t>US5657881067</t>
  </si>
  <si>
    <t>MARATHON DIGITAL HOLDINGS IN</t>
  </si>
  <si>
    <t>VNA GR Equity</t>
  </si>
  <si>
    <t>DE000A1ML7J1</t>
  </si>
  <si>
    <t>VONOVIA SE</t>
  </si>
  <si>
    <t>VWS DC Equity</t>
  </si>
  <si>
    <t>DK0061539921</t>
  </si>
  <si>
    <t>DIM FP Equity</t>
  </si>
  <si>
    <t>FR0013154002</t>
  </si>
  <si>
    <t>SARTORIUS STEDIM BIOTECH</t>
  </si>
  <si>
    <t>PNR US Equity</t>
  </si>
  <si>
    <t>IE00BLS09M33</t>
  </si>
  <si>
    <t>TRI FP Equity</t>
  </si>
  <si>
    <t>AENA SM Equity</t>
  </si>
  <si>
    <t>MSFT US Equity</t>
  </si>
  <si>
    <t>US5949181045</t>
  </si>
  <si>
    <t>MICROSOFT CORP</t>
  </si>
  <si>
    <t>MELI US Equity</t>
  </si>
  <si>
    <t>SHL GR Equity</t>
  </si>
  <si>
    <t>DE000SHL1006</t>
  </si>
  <si>
    <t>SIEMENS HEALTHINEERS AG</t>
  </si>
  <si>
    <t>SU FP Equity</t>
  </si>
  <si>
    <t>AMBU A/S-B</t>
  </si>
  <si>
    <t>CAC40 10 EURO FUT Sep25</t>
  </si>
  <si>
    <t>RTYU5 Index</t>
  </si>
  <si>
    <t>FINL000008N9</t>
  </si>
  <si>
    <t>E-Mini Russ 2000  Sep25</t>
  </si>
  <si>
    <t>TLT US Equity</t>
  </si>
  <si>
    <t>US4642874329</t>
  </si>
  <si>
    <t>ISHARES 20+ YEAR TREASURY BD</t>
  </si>
  <si>
    <t>IDTL LN Equity</t>
  </si>
  <si>
    <t>IE00BSKRJZ44</t>
  </si>
  <si>
    <t>ISHARES USD TRES 20PLUS YR</t>
  </si>
  <si>
    <t>LAFARGEHOLCIM LTD-REG</t>
  </si>
  <si>
    <t>DBK GR Equity</t>
  </si>
  <si>
    <t>DE0005140008</t>
  </si>
  <si>
    <t>DEUTSCHE BANK AG-REGISTERED</t>
  </si>
  <si>
    <t>FBOL00000190</t>
  </si>
  <si>
    <t>ASSAB SS Equity</t>
  </si>
  <si>
    <t>SE0007100581</t>
  </si>
  <si>
    <t>ASSA ABLOY AB-B</t>
  </si>
  <si>
    <t>ALLE US Equity</t>
  </si>
  <si>
    <t>IE00BFRT3W74</t>
  </si>
  <si>
    <t>TYZ5 Comdty</t>
  </si>
  <si>
    <t>FBOL0000019E</t>
  </si>
  <si>
    <t>US 10YR NOTE (CBT)Dec25</t>
  </si>
  <si>
    <t>G U5 COMDTY</t>
  </si>
  <si>
    <t>FBOL0000018M</t>
  </si>
  <si>
    <t>LONG GILT FUTURE  Sep25</t>
  </si>
  <si>
    <t>G Z5 Comdty</t>
  </si>
  <si>
    <t>FBOL0000019N</t>
  </si>
  <si>
    <t>LONG GILT FUTURE  Dec25</t>
  </si>
  <si>
    <t>OATZ5 Comdty</t>
  </si>
  <si>
    <t>FBOL000001A2</t>
  </si>
  <si>
    <t>Euro-OAT Future   Dec25</t>
  </si>
  <si>
    <t>RXZ5 Comdty</t>
  </si>
  <si>
    <t>FBOL0000019X</t>
  </si>
  <si>
    <t>EURO-BUND FUTURE  Dec25</t>
  </si>
  <si>
    <t>IKZ5 Comdty</t>
  </si>
  <si>
    <t>FBOL0000019Z</t>
  </si>
  <si>
    <t>Euro-BTP Future   Dec25</t>
  </si>
  <si>
    <t>KOAZ5 Comdty</t>
  </si>
  <si>
    <t>CKOA_____Z5</t>
  </si>
  <si>
    <t>Euro-BONO Sp Gov  Dec25</t>
  </si>
  <si>
    <t>FRA GR Equity</t>
  </si>
  <si>
    <t>DE0005773303</t>
  </si>
  <si>
    <t>FRAPORT AG FRANKFURT AIRPORT</t>
  </si>
  <si>
    <t>PUB FP Equity</t>
  </si>
  <si>
    <t>FR0000130577</t>
  </si>
  <si>
    <t>PUBLICIS GROUPE</t>
  </si>
  <si>
    <t>RYZ5 Curncy</t>
  </si>
  <si>
    <t>FFXL000002YO</t>
  </si>
  <si>
    <t>EURO/JPY FUTURE   Dec25</t>
  </si>
  <si>
    <t>FGR FP Equity</t>
  </si>
  <si>
    <t>FR0000130452</t>
  </si>
  <si>
    <t>EIFFAGE</t>
  </si>
  <si>
    <t>CLARI FP Equity</t>
  </si>
  <si>
    <t>FR0010386334</t>
  </si>
  <si>
    <t>CLARIANE (ex-Korian)</t>
  </si>
  <si>
    <t>BAS GR Equity</t>
  </si>
  <si>
    <t>DE000BASF111</t>
  </si>
  <si>
    <t>BASF SE</t>
  </si>
  <si>
    <t>ESZ5 Index</t>
  </si>
  <si>
    <t>IES____Z5</t>
  </si>
  <si>
    <t>S&amp;P500 EMINI FUT  Dec25</t>
  </si>
  <si>
    <t>VGZ5 Index</t>
  </si>
  <si>
    <t>FINL000008UW</t>
  </si>
  <si>
    <t>EURO STOXX 50     Dec25</t>
  </si>
  <si>
    <t>RTYZ5 Index</t>
  </si>
  <si>
    <t>FINL000008WD</t>
  </si>
  <si>
    <t>E-Mini Russ 2000  Dec25</t>
  </si>
  <si>
    <t>DFWZ5 Index</t>
  </si>
  <si>
    <t>IDFW_____Z5</t>
  </si>
  <si>
    <t>DAX Mini Future   Dec25</t>
  </si>
  <si>
    <t>CFV5 Index</t>
  </si>
  <si>
    <t>ICF____V5</t>
  </si>
  <si>
    <t>CAC40 10 EURO FUT Oct25</t>
  </si>
  <si>
    <t>SA US Equity</t>
  </si>
  <si>
    <t>CA8119161054</t>
  </si>
  <si>
    <t>SEABRIDGE GOLD INC</t>
  </si>
  <si>
    <t>SIKA SW Equity</t>
  </si>
  <si>
    <t>SANOB12 FP Equity</t>
  </si>
  <si>
    <t>SANSO OBLIGAT 12 MOIS-C</t>
  </si>
  <si>
    <t>CPRTREI FP Equity</t>
  </si>
  <si>
    <t>FR0010979278</t>
  </si>
  <si>
    <t>CPR MONETAIRE SR-I</t>
  </si>
  <si>
    <t>GKP LN Equity</t>
  </si>
  <si>
    <t>NVDA US Equity</t>
  </si>
  <si>
    <t>US67066G1040</t>
  </si>
  <si>
    <t>NVIDIA CORP</t>
  </si>
  <si>
    <t>CFR SW Equity</t>
  </si>
  <si>
    <t>CIE FINANCIERE RICHEMONT-REG</t>
  </si>
  <si>
    <t>AZN LN Equity</t>
  </si>
  <si>
    <t>GB0009895292</t>
  </si>
  <si>
    <t>ASTRAZENECA PLC</t>
  </si>
  <si>
    <t>METSO FH Equity</t>
  </si>
  <si>
    <t>FI0009014575</t>
  </si>
  <si>
    <t>METSO OUTOTEC OYJ</t>
  </si>
  <si>
    <t>IBV5 Index</t>
  </si>
  <si>
    <t>FINL00000924</t>
  </si>
  <si>
    <t>IBEX 35 INDX FUTR Oct25</t>
  </si>
  <si>
    <t>HOT GR Equity</t>
  </si>
  <si>
    <t>DE0006070006</t>
  </si>
  <si>
    <t>HOCHTIEF AG</t>
  </si>
  <si>
    <t>PRY IM Equity</t>
  </si>
  <si>
    <t>IT0004176001</t>
  </si>
  <si>
    <t>PRYSMIAN SPA</t>
  </si>
  <si>
    <t>OR FP Equity</t>
  </si>
  <si>
    <t>FR0000120321</t>
  </si>
  <si>
    <t>L'OREAL</t>
  </si>
  <si>
    <t>IBX5 Index</t>
  </si>
  <si>
    <t>FINL0000093U</t>
  </si>
  <si>
    <t>IBEX 35 INDX FUTR Nov25</t>
  </si>
  <si>
    <t>CFX5 Index</t>
  </si>
  <si>
    <t>ICF____X5</t>
  </si>
  <si>
    <t>CAC40 10 EURO FUT Nov25</t>
  </si>
  <si>
    <t>KER FP Equity</t>
  </si>
  <si>
    <t>GLE FP Equity</t>
  </si>
  <si>
    <t>FR0000130809</t>
  </si>
  <si>
    <t>SOCIETE GENERALE SA</t>
  </si>
  <si>
    <t>HELINAE LX Equity</t>
  </si>
  <si>
    <t>HELIUM-INVEST-A EUR</t>
  </si>
  <si>
    <t>HFHSELA LX Equity</t>
  </si>
  <si>
    <t>HELIUM SELECTION AC</t>
  </si>
  <si>
    <t>1COV GR Equity</t>
  </si>
  <si>
    <t>DE0006062144</t>
  </si>
  <si>
    <t>COVESTRO AG</t>
  </si>
  <si>
    <t>EL FP Equity</t>
  </si>
  <si>
    <t>FR0000121667</t>
  </si>
  <si>
    <t>ESSILOR Luxottica</t>
  </si>
  <si>
    <t>APP UW Equity</t>
  </si>
  <si>
    <t>US03831W1080</t>
  </si>
  <si>
    <t>APPLOVIN CORP-CLASS A</t>
  </si>
  <si>
    <t>VIRI FP Equity</t>
  </si>
  <si>
    <t>FR001400PVN6</t>
  </si>
  <si>
    <t>VIRIDIEN</t>
  </si>
  <si>
    <t>ELEARSE LX Equity</t>
  </si>
  <si>
    <t>ELEVA ABSOLUTE RETURN-S</t>
  </si>
  <si>
    <t>VIV FP Equity</t>
  </si>
  <si>
    <t>FR0000127771</t>
  </si>
  <si>
    <t>VIVENDI</t>
  </si>
  <si>
    <t>EN FP Equity</t>
  </si>
  <si>
    <t>FR0000120503</t>
  </si>
  <si>
    <t>KSP ID Equity</t>
  </si>
  <si>
    <t>IE0004927939</t>
  </si>
  <si>
    <t>KINGSPAN GROUP PLC</t>
  </si>
  <si>
    <t>UNH US Equity</t>
  </si>
  <si>
    <t>US91324P1021</t>
  </si>
  <si>
    <t>UNITEDHEALTH GROUP INC</t>
  </si>
  <si>
    <t>REL LN Equity</t>
  </si>
  <si>
    <t>IBZ5 Index</t>
  </si>
  <si>
    <t>FINL0000092L</t>
  </si>
  <si>
    <t>IBEX 35 INDX FUTR Dec25</t>
  </si>
  <si>
    <t>CFZ5 Index</t>
  </si>
  <si>
    <t>ICF____Z5</t>
  </si>
  <si>
    <t>CAC40 10 EURO FUT Dec25</t>
  </si>
  <si>
    <t>Z Z5 Index</t>
  </si>
  <si>
    <t>FINL000008W0</t>
  </si>
  <si>
    <t>FTSE 100 IDX FUT  Dec25</t>
  </si>
  <si>
    <t>BP/ LN Equity</t>
  </si>
  <si>
    <t>GB0007980591</t>
  </si>
  <si>
    <t>BP PLC</t>
  </si>
  <si>
    <t>UMG NA Equity</t>
  </si>
  <si>
    <t>NL0015000IY2</t>
  </si>
  <si>
    <t>UNIVERSAL MUSIC GROUP NV</t>
  </si>
  <si>
    <t>NQZ5 Index</t>
  </si>
  <si>
    <t>INQ____Z5</t>
  </si>
  <si>
    <t>NASDAQ 100 E-MINI Dec25</t>
  </si>
  <si>
    <t>GOOG US Equity</t>
  </si>
  <si>
    <t>G H6 Comdty</t>
  </si>
  <si>
    <t>CG_____H6</t>
  </si>
  <si>
    <t>LONG GILT FUTURE  Mar26</t>
  </si>
  <si>
    <t>TYH6 Comdty</t>
  </si>
  <si>
    <t>CTY____H6</t>
  </si>
  <si>
    <t>US 10YR NOTE (CBT)Mar26</t>
  </si>
  <si>
    <t>ELIOR FP Equity</t>
  </si>
  <si>
    <t>FR0011950732</t>
  </si>
  <si>
    <t>ELIOR GROUP</t>
  </si>
  <si>
    <t>NEX FP Equity</t>
  </si>
  <si>
    <t>FR0000044448</t>
  </si>
  <si>
    <t>NEXANS SA</t>
  </si>
  <si>
    <t>IKH6 Comdty</t>
  </si>
  <si>
    <t>FBOL00000072</t>
  </si>
  <si>
    <t>Euro-BTP Future   Mar26</t>
  </si>
  <si>
    <t>RXH6 Comdty</t>
  </si>
  <si>
    <t>FBOL0000007D</t>
  </si>
  <si>
    <t>EURO-BUND FUTURE  Mar26</t>
  </si>
  <si>
    <t>KOAH6 Comdty</t>
  </si>
  <si>
    <t>CKOA_____H6</t>
  </si>
  <si>
    <t>Euro-BONO Sp Gov  Mar26</t>
  </si>
  <si>
    <t>OATH6 Comdty</t>
  </si>
  <si>
    <t>FBOL0000007Y</t>
  </si>
  <si>
    <t>Euro-OAT Future   Mar26</t>
  </si>
  <si>
    <t>RYH6 Curncy</t>
  </si>
  <si>
    <t>FFXL0000000A</t>
  </si>
  <si>
    <t>EURO/JPY FUTURE   Mar26</t>
  </si>
  <si>
    <t>SDZ SW Equity</t>
  </si>
  <si>
    <t>CH1243598427</t>
  </si>
  <si>
    <t>SANDOZ GROUP AG</t>
  </si>
  <si>
    <t>AMRZ US Equity</t>
  </si>
  <si>
    <t>CH1430134226</t>
  </si>
  <si>
    <t>AMRIZE LTD</t>
  </si>
  <si>
    <t>FLS DC Equity</t>
  </si>
  <si>
    <t>DK0010234467</t>
  </si>
  <si>
    <t>FLSMIDTH &amp; CO A/S</t>
  </si>
  <si>
    <t>VCT FP Equity</t>
  </si>
  <si>
    <t>FR0000031775</t>
  </si>
  <si>
    <t>VICAT</t>
  </si>
  <si>
    <t>NEM US Equity</t>
  </si>
  <si>
    <t>NEWMONT MINING CORP</t>
  </si>
  <si>
    <t>AIR FP Equity</t>
  </si>
  <si>
    <t>NL0000235190</t>
  </si>
  <si>
    <t>AIRBUS SE</t>
  </si>
  <si>
    <t>DFWH6 Index</t>
  </si>
  <si>
    <t>IDFW_____H6</t>
  </si>
  <si>
    <t>DAX Mini Future   Mar26</t>
  </si>
  <si>
    <t>GET FP Equity</t>
  </si>
  <si>
    <t>FR0010533075</t>
  </si>
  <si>
    <t>GETLINK</t>
  </si>
  <si>
    <t>Z H6 Index</t>
  </si>
  <si>
    <t>IZ ____H6</t>
  </si>
  <si>
    <t>FTSE 100 IDX FUT  Mar26</t>
  </si>
  <si>
    <t>VGH6 Index</t>
  </si>
  <si>
    <t>FINL000001TE</t>
  </si>
  <si>
    <t>EURO STOXX 50     Mar26</t>
  </si>
  <si>
    <t>RTYH6 Index</t>
  </si>
  <si>
    <t>FINL0000092A</t>
  </si>
  <si>
    <t>E-Mini Russ 2000  Mar26</t>
  </si>
  <si>
    <t>NQH6 Index</t>
  </si>
  <si>
    <t>FINL00000146</t>
  </si>
  <si>
    <t>NASDAQ 100 E-MINI Mar26</t>
  </si>
  <si>
    <t>ESH6 Index</t>
  </si>
  <si>
    <t>FINL000001HZ</t>
  </si>
  <si>
    <t>S&amp;P500 EMINI FUT  Mar26</t>
  </si>
  <si>
    <t>CFF6 Index</t>
  </si>
  <si>
    <t>ICF____F6</t>
  </si>
  <si>
    <t>CAC40 10 EURO FUT Jan26</t>
  </si>
  <si>
    <t>IBF6 Index</t>
  </si>
  <si>
    <t>IIB____F6</t>
  </si>
  <si>
    <t>IBEX 35 INDX FUTR Jan26</t>
  </si>
  <si>
    <t>LLY US Equity</t>
  </si>
  <si>
    <t>FINL000001X3</t>
  </si>
  <si>
    <t>IVOGOIE LX Equity</t>
  </si>
  <si>
    <t>IVO FD - GLOBAL HIGH YIELD I EUR</t>
  </si>
  <si>
    <t>US105756CL22 Corp</t>
  </si>
  <si>
    <t>BRAZIL 6 5/8 03/15/35</t>
  </si>
  <si>
    <t>FINL000001XE</t>
  </si>
  <si>
    <t>TSM US Equity</t>
  </si>
  <si>
    <t>US8740391003</t>
  </si>
  <si>
    <t>TAIWAN SEMICONDUCTOR-SP ADR</t>
  </si>
  <si>
    <t>BPE IM Equity</t>
  </si>
  <si>
    <t>Banca Popolare dell'Emilia Romagna</t>
  </si>
  <si>
    <t>ABN NA Equity</t>
  </si>
  <si>
    <t>ABN AMRO GROUP NV-CVA</t>
  </si>
  <si>
    <t>LDO IM Equity</t>
  </si>
  <si>
    <t>CFG6 Index</t>
  </si>
  <si>
    <t>ICF____G6</t>
  </si>
  <si>
    <t>CAC40 10 EURO FUT Feb26</t>
  </si>
  <si>
    <t>GEBN SW Equity</t>
  </si>
  <si>
    <t>CH0030170408</t>
  </si>
  <si>
    <t>GEBERIT AG-REG</t>
  </si>
  <si>
    <t>ANDR AV Equity</t>
  </si>
  <si>
    <t>AT0000730007</t>
  </si>
  <si>
    <t>GE US Equity</t>
  </si>
  <si>
    <t>US3696043013</t>
  </si>
  <si>
    <t>GENERAL ELECTRIC CO</t>
  </si>
  <si>
    <t>PRX NA Equity</t>
  </si>
  <si>
    <t>NL0013654783</t>
  </si>
  <si>
    <t>PROSUS NV</t>
  </si>
  <si>
    <t>GALD SE Equity</t>
  </si>
  <si>
    <t>CH1335392721</t>
  </si>
  <si>
    <t>GALDERMA GROUP AG</t>
  </si>
  <si>
    <t>ANTO LN Equity</t>
  </si>
  <si>
    <t>GB0000456144</t>
  </si>
  <si>
    <t>ANTOFAGASTA PLC</t>
  </si>
  <si>
    <t>BA US Equity</t>
  </si>
  <si>
    <t>US0970231058</t>
  </si>
  <si>
    <t>BOEING CO/THE</t>
  </si>
  <si>
    <t>RIO LN Equity</t>
  </si>
  <si>
    <t>GBF GR Equity</t>
  </si>
  <si>
    <t>CSH FP Equity</t>
  </si>
  <si>
    <t>FR0010510800</t>
  </si>
  <si>
    <t>AMUND EURO OVERNIGHT RETURN</t>
  </si>
  <si>
    <t>BFT3MOS FP Equity</t>
  </si>
  <si>
    <t>BFT AUREUS-C</t>
  </si>
  <si>
    <t>ABBN SW Equity</t>
  </si>
  <si>
    <t>CH0012221716</t>
  </si>
  <si>
    <t>ABB LTD-REG</t>
  </si>
  <si>
    <t>SBMO NA Equity</t>
  </si>
  <si>
    <t>NL0000360618</t>
  </si>
  <si>
    <t>SBM OFFSHORE NV</t>
  </si>
  <si>
    <t>TRE SM Equity</t>
  </si>
  <si>
    <t>TE FP Equity</t>
  </si>
  <si>
    <t>CFH6 Index</t>
  </si>
  <si>
    <t>ICF____H6</t>
  </si>
  <si>
    <t>CAC40 10 EURO FUT Mar26</t>
  </si>
  <si>
    <t>G M6 Comdty</t>
  </si>
  <si>
    <t>FBOL0000007U</t>
  </si>
  <si>
    <t>LONG GILT FUTURE  Jun26</t>
  </si>
  <si>
    <t>FHZN SW Equity</t>
  </si>
  <si>
    <t>ALAT FP Equity</t>
  </si>
  <si>
    <t>AMUNDI MSCI EM LATIN AME ETF</t>
  </si>
  <si>
    <t>SHELL LN Equity</t>
  </si>
  <si>
    <t>SHELL PLC-NEW</t>
  </si>
  <si>
    <t>OATM6 Comdty</t>
  </si>
  <si>
    <t>FBOL0000008T</t>
  </si>
  <si>
    <t>Euro-OAT Future   Jun26</t>
  </si>
  <si>
    <t>RXM6 Comdty</t>
  </si>
  <si>
    <t>FBOL0000007C</t>
  </si>
  <si>
    <t>EURO-BUND FUTURE  Jun26</t>
  </si>
  <si>
    <t>IKM6 Comdty</t>
  </si>
  <si>
    <t>CIK____M6</t>
  </si>
  <si>
    <t>Euro-BTP Future   Jun26</t>
  </si>
  <si>
    <t>KOAM6 Comdty</t>
  </si>
  <si>
    <t>CKOA_____M6</t>
  </si>
  <si>
    <t>Euro-BONO Sp Gov  Jun26</t>
  </si>
  <si>
    <t>RYM6 Curncy</t>
  </si>
  <si>
    <t>FFXL0000000F</t>
  </si>
  <si>
    <t>EURO/JPY FUTURE   Jun26</t>
  </si>
  <si>
    <t>AM FP Equity</t>
  </si>
  <si>
    <t>FR0014004L86</t>
  </si>
  <si>
    <t>DASSAULT AVIATION SA</t>
  </si>
  <si>
    <t>CSKR IM Equity</t>
  </si>
  <si>
    <t>IE00B5W4TY14</t>
  </si>
  <si>
    <t>ISHARES MSCI KOREA USD ACC</t>
  </si>
  <si>
    <t>Z M6 Index</t>
  </si>
  <si>
    <t>IZ ____M6</t>
  </si>
  <si>
    <t>FTSE 100 IDX FUT  Jun26</t>
  </si>
  <si>
    <t>RTYM6 Index</t>
  </si>
  <si>
    <t>FINL0000097P</t>
  </si>
  <si>
    <t>E-Mini Russ 2000  Jun26</t>
  </si>
  <si>
    <t>ASML NA Equity</t>
  </si>
  <si>
    <t>NL0010273215</t>
  </si>
  <si>
    <t>VIE FP Equity</t>
  </si>
  <si>
    <t>FR0000124141</t>
  </si>
  <si>
    <t>VEOLIA ENVIRONNEMENT</t>
  </si>
  <si>
    <t>CNYB NA Equity</t>
  </si>
  <si>
    <t>IE00BYPC1H27</t>
  </si>
  <si>
    <t>ISHARES CHINA CNY BOND USD-D</t>
  </si>
  <si>
    <t>ROP SE Equity</t>
  </si>
  <si>
    <t>CH1499059983</t>
  </si>
  <si>
    <t>Roche Holding AG</t>
  </si>
  <si>
    <t>TEG GR Equity</t>
  </si>
  <si>
    <t>DE0008303504</t>
  </si>
  <si>
    <t>TAG IMMOBILIEN AG</t>
  </si>
  <si>
    <t>ESM6 Index</t>
  </si>
  <si>
    <t>FINL0000000P</t>
  </si>
  <si>
    <t>S&amp;P500 EMINI FUT  Jun26</t>
  </si>
  <si>
    <t>NQM6 Index</t>
  </si>
  <si>
    <t>FINL0000022M</t>
  </si>
  <si>
    <t>NASDAQ 100 E-MINI Jun26</t>
  </si>
  <si>
    <t>VGM6 Index</t>
  </si>
  <si>
    <t>FINL000001VX</t>
  </si>
  <si>
    <t>EURO STOXX 50     Jun26</t>
  </si>
  <si>
    <t>DFWM6 Index</t>
  </si>
  <si>
    <t>IDFW_____M6</t>
  </si>
  <si>
    <t>DAX Mini Future   Jun26</t>
  </si>
  <si>
    <t>CFJ6 Index</t>
  </si>
  <si>
    <t>ICF____J6</t>
  </si>
  <si>
    <t>CAC40 10 EURO FUT Apr26</t>
  </si>
  <si>
    <t>SPM IM Equity</t>
  </si>
  <si>
    <t>CRH US Equity</t>
  </si>
  <si>
    <t>TYM6 Comdty</t>
  </si>
  <si>
    <t>FBOL000001BM</t>
  </si>
  <si>
    <t>US 10YR NOTE (CBT)Jun26</t>
  </si>
  <si>
    <t>SOI FP Equity</t>
  </si>
  <si>
    <t>FR0013227113</t>
  </si>
  <si>
    <t>SOITEC</t>
  </si>
  <si>
    <t>SHEL LN Equity</t>
  </si>
  <si>
    <t>CATL AV Equity</t>
  </si>
  <si>
    <t>CNE100006WS8</t>
  </si>
  <si>
    <t>FBOL00000087</t>
  </si>
  <si>
    <t>AIGA LN Equity</t>
  </si>
  <si>
    <t>HO FP Equity</t>
  </si>
  <si>
    <t>FR0000121329</t>
  </si>
  <si>
    <t>THALES SA</t>
  </si>
  <si>
    <t>MC FP Equity</t>
  </si>
  <si>
    <t>GEKTERNA GA Equity</t>
  </si>
  <si>
    <t>CFK6 Index</t>
  </si>
  <si>
    <t>ICF____K6</t>
  </si>
  <si>
    <t>CAC40 10 EURO FUT May26</t>
  </si>
  <si>
    <t>ROCHE HOLDING AG</t>
  </si>
  <si>
    <t>GTT FP Equity</t>
  </si>
  <si>
    <t>FR0011726835</t>
  </si>
  <si>
    <t>GAZTRANSPORT ET TECHNIGA SA</t>
  </si>
  <si>
    <t>IEYTSSR LX Equity</t>
  </si>
  <si>
    <t>LU3281045396</t>
  </si>
  <si>
    <t>IMP EMERGING EQITY TDS-S EUR</t>
  </si>
  <si>
    <t>CFM6 Index</t>
  </si>
  <si>
    <t>ICF____M6</t>
  </si>
  <si>
    <t>CAC40 10 EURO FUT Jun26</t>
  </si>
  <si>
    <t>SNDK US Equity</t>
  </si>
  <si>
    <t>US80004C2008</t>
  </si>
  <si>
    <t>SANDISK CORP</t>
  </si>
  <si>
    <t>MRVL US Equity</t>
  </si>
  <si>
    <t>US5738741041</t>
  </si>
  <si>
    <t>MARVELL TECHNOLOGY INC</t>
  </si>
  <si>
    <t>BE UN Equity</t>
  </si>
  <si>
    <t>US0937121079</t>
  </si>
  <si>
    <t>BLOOM ENERGY CORP- A</t>
  </si>
  <si>
    <t>RXU6 Comdty</t>
  </si>
  <si>
    <t>EURO-BUND FUTURE  Sep26</t>
  </si>
  <si>
    <t>OATU6 Comdty</t>
  </si>
  <si>
    <t>Euro-OAT Future   Sep26</t>
  </si>
  <si>
    <t>KOAU6 Comdty</t>
  </si>
  <si>
    <t>Euro-BONO Sp Gov  Sep26</t>
  </si>
  <si>
    <t>RYU6 Curncy</t>
  </si>
  <si>
    <t>YRY____U6</t>
  </si>
  <si>
    <t>EURO/JPY FUTURE   Sep26</t>
  </si>
  <si>
    <t>NQU6 Index</t>
  </si>
  <si>
    <t>INQ____U6</t>
  </si>
  <si>
    <t>NASDAQ 100 E-MINI Sep26</t>
  </si>
  <si>
    <t>RBI AV Equity</t>
  </si>
  <si>
    <t>AMS SM Equity</t>
  </si>
  <si>
    <t>CFN6 Index</t>
  </si>
  <si>
    <t>ICF____N6</t>
  </si>
  <si>
    <t>CAC40 10 EURO FUT Jul26</t>
  </si>
  <si>
    <t>VGU6 Index</t>
  </si>
  <si>
    <t>IVG____U6</t>
  </si>
  <si>
    <t>EURO STOXX 50     Sep26</t>
  </si>
  <si>
    <t>TYU6 Comdty</t>
  </si>
  <si>
    <t>US 10YR NOTE (CBT)Sep26</t>
  </si>
  <si>
    <t>STR AV Equity</t>
  </si>
  <si>
    <t>ACX SM Equity</t>
  </si>
  <si>
    <t>EXENS FP Equity</t>
  </si>
  <si>
    <t>MTX GR Equity</t>
  </si>
  <si>
    <t>CFQ6 Index</t>
  </si>
  <si>
    <t>CAC40 10 EURO FUT Aug26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</si>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</sst>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#,##0.00\ &quot;€&quot;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164" fontId="0" fillId="0" borderId="0" xfId="1" applyFont="1"/>
    <xf numFmtId="0" fontId="2" fillId="0" borderId="1" xfId="0" applyFont="1" applyBorder="1"/>
    <xf numFmtId="14" fontId="0" fillId="0" borderId="1" xfId="0" applyNumberFormat="1" applyBorder="1"/>
    <xf numFmtId="0" fontId="0" fillId="0" borderId="1" xfId="0" applyBorder="1"/>
    <xf numFmtId="4" fontId="0" fillId="0" borderId="0" xfId="0" applyNumberFormat="1"/>
    <xf numFmtId="10" fontId="0" fillId="0" borderId="0" xfId="2" applyNumberFormat="1" applyFont="1"/>
    <xf numFmtId="0" fontId="2" fillId="0" borderId="0" xfId="0" applyFont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4" fontId="2" fillId="0" borderId="2" xfId="1" applyFont="1" applyBorder="1" applyAlignment="1">
      <alignment horizontal="center"/>
    </xf>
    <xf numFmtId="164" fontId="0" fillId="0" borderId="0" xfId="1" applyFont="1" applyFill="1" applyBorder="1"/>
    <xf numFmtId="10" fontId="0" fillId="0" borderId="0" xfId="0" applyNumberFormat="1"/>
    <xf numFmtId="164" fontId="0" fillId="0" borderId="0" xfId="1" applyFont="1" applyBorder="1"/>
    <xf numFmtId="0" fontId="0" fillId="2" borderId="0" xfId="0" applyFill="1"/>
    <xf numFmtId="164" fontId="0" fillId="2" borderId="0" xfId="1" applyFont="1" applyFill="1" applyBorder="1"/>
    <xf numFmtId="10" fontId="0" fillId="2" borderId="0" xfId="0" applyNumberFormat="1" applyFill="1"/>
    <xf numFmtId="2" fontId="0" fillId="0" borderId="0" xfId="0" applyNumberFormat="1"/>
    <xf numFmtId="14" fontId="0" fillId="0" borderId="0" xfId="0" applyNumberFormat="1"/>
    <xf numFmtId="14" fontId="0" fillId="0" borderId="0" xfId="0" applyNumberFormat="1" applyAlignment="1">
      <alignment horizontal="right"/>
    </xf>
    <xf numFmtId="0" fontId="3" fillId="0" borderId="0" xfId="0" applyFont="1" applyAlignment="1">
      <alignment vertical="center"/>
    </xf>
    <xf numFmtId="164" fontId="2" fillId="0" borderId="0" xfId="1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2" fontId="2" fillId="0" borderId="1" xfId="0" applyNumberFormat="1" applyFont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21A29-5169-4516-9B76-3252A5237DC5}">
  <sheetPr codeName="Feuil2"/>
  <dimension ref="A1:M121"/>
  <sheetViews>
    <sheetView tabSelected="1" workbookViewId="0">
      <selection activeCell="C6" sqref="C6"/>
    </sheetView>
  </sheetViews>
  <sheetFormatPr baseColWidth="10" defaultRowHeight="15" x14ac:dyDescent="0.25"/>
  <sheetData>
    <row r="1" spans="1:13" x14ac:dyDescent="0.25">
      <c r="K1" s="1"/>
    </row>
    <row r="2" spans="1:13" x14ac:dyDescent="0.25">
      <c r="E2" s="2" t="s">
        <v>0</v>
      </c>
      <c r="F2" s="22">
        <v>28332753.489999998</v>
      </c>
      <c r="G2" s="22"/>
      <c r="I2">
        <v>5213.51</v>
      </c>
      <c r="K2" s="1"/>
    </row>
    <row r="3" spans="1:13" x14ac:dyDescent="0.25">
      <c r="A3" s="2" t="s">
        <v>1</v>
      </c>
      <c r="B3" s="3">
        <v>46227</v>
      </c>
      <c r="E3" s="4" t="s">
        <v>2</v>
      </c>
      <c r="F3" s="23">
        <v>271342.49200000003</v>
      </c>
      <c r="G3" s="23"/>
      <c r="I3" s="5">
        <v>39014.800000000003</v>
      </c>
      <c r="J3" s="6"/>
      <c r="K3" s="1"/>
    </row>
    <row r="4" spans="1:13" x14ac:dyDescent="0.25">
      <c r="B4" t="s">
        <v>3</v>
      </c>
      <c r="E4" s="2" t="s">
        <v>4</v>
      </c>
      <c r="F4" s="24">
        <v>104.42</v>
      </c>
      <c r="G4" s="24"/>
      <c r="I4">
        <f>I2/I3</f>
        <v>0.13362903308488061</v>
      </c>
      <c r="K4" s="1"/>
    </row>
    <row r="5" spans="1:13" x14ac:dyDescent="0.25">
      <c r="K5" s="1"/>
    </row>
    <row r="6" spans="1:13" x14ac:dyDescent="0.25">
      <c r="A6" s="7" t="s">
        <v>5</v>
      </c>
      <c r="K6" s="1"/>
    </row>
    <row r="7" spans="1:13" x14ac:dyDescent="0.25">
      <c r="A7" s="8" t="s">
        <v>6</v>
      </c>
      <c r="B7" s="9" t="s">
        <v>7</v>
      </c>
      <c r="C7" s="9" t="s">
        <v>8</v>
      </c>
      <c r="D7" s="9" t="s">
        <v>9</v>
      </c>
      <c r="E7" s="10" t="s">
        <v>10</v>
      </c>
      <c r="F7" s="10" t="s">
        <v>11</v>
      </c>
      <c r="G7" s="10" t="s">
        <v>12</v>
      </c>
      <c r="H7" s="10" t="s">
        <v>13</v>
      </c>
      <c r="I7" s="10" t="s">
        <v>14</v>
      </c>
      <c r="J7" s="10" t="s">
        <v>15</v>
      </c>
      <c r="K7" s="10" t="s">
        <v>16</v>
      </c>
      <c r="L7" s="10" t="s">
        <v>17</v>
      </c>
      <c r="M7" s="21" t="s">
        <v>920</v>
      </c>
    </row>
    <row r="8" spans="1:13" x14ac:dyDescent="0.25">
      <c r="A8" t="s">
        <v>18</v>
      </c>
      <c r="B8" t="s">
        <v>19</v>
      </c>
      <c r="C8" t="s">
        <v>20</v>
      </c>
      <c r="D8" t="s">
        <v>21</v>
      </c>
      <c r="E8">
        <v>7400</v>
      </c>
      <c r="F8">
        <v>40.442767570000001</v>
      </c>
      <c r="G8">
        <v>42.78</v>
      </c>
      <c r="H8">
        <v>316572</v>
      </c>
      <c r="I8">
        <v>0</v>
      </c>
      <c r="J8">
        <v>1</v>
      </c>
      <c r="K8" s="11">
        <v>316572</v>
      </c>
      <c r="L8" s="12">
        <f t="shared" ref="L8:L39" si="0">(I8+K8)/$F$2</f>
        <v>1.1173358075194971E-2</v>
      </c>
      <c r="M8" t="s">
        <v>869</v>
      </c>
    </row>
    <row r="9" spans="1:13" x14ac:dyDescent="0.25">
      <c r="A9" t="s">
        <v>18</v>
      </c>
      <c r="B9" t="s">
        <v>22</v>
      </c>
      <c r="C9" t="s">
        <v>23</v>
      </c>
      <c r="D9" t="s">
        <v>21</v>
      </c>
      <c r="E9">
        <v>18479</v>
      </c>
      <c r="F9">
        <v>21.796301209999999</v>
      </c>
      <c r="G9">
        <v>21.76</v>
      </c>
      <c r="H9">
        <v>402103.03999999998</v>
      </c>
      <c r="I9">
        <v>0</v>
      </c>
      <c r="J9">
        <v>1</v>
      </c>
      <c r="K9" s="11">
        <v>402103.03999999998</v>
      </c>
      <c r="L9" s="12">
        <f t="shared" si="0"/>
        <v>1.4192162443439238E-2</v>
      </c>
      <c r="M9" t="s">
        <v>318</v>
      </c>
    </row>
    <row r="10" spans="1:13" x14ac:dyDescent="0.25">
      <c r="A10" t="s">
        <v>18</v>
      </c>
      <c r="B10" t="s">
        <v>24</v>
      </c>
      <c r="C10" t="s">
        <v>25</v>
      </c>
      <c r="D10" t="s">
        <v>21</v>
      </c>
      <c r="E10">
        <v>507</v>
      </c>
      <c r="F10">
        <v>507.70895464</v>
      </c>
      <c r="G10">
        <v>461.7</v>
      </c>
      <c r="H10">
        <v>234081.9</v>
      </c>
      <c r="I10">
        <v>0</v>
      </c>
      <c r="J10">
        <v>1</v>
      </c>
      <c r="K10" s="11">
        <v>234081.9</v>
      </c>
      <c r="L10" s="12">
        <f t="shared" si="0"/>
        <v>8.2618831975726902E-3</v>
      </c>
      <c r="M10" t="s">
        <v>868</v>
      </c>
    </row>
    <row r="11" spans="1:13" x14ac:dyDescent="0.25">
      <c r="A11" t="s">
        <v>18</v>
      </c>
      <c r="B11" t="s">
        <v>26</v>
      </c>
      <c r="C11" t="s">
        <v>27</v>
      </c>
      <c r="D11" t="s">
        <v>21</v>
      </c>
      <c r="E11">
        <v>1031</v>
      </c>
      <c r="F11">
        <v>275.23816683000001</v>
      </c>
      <c r="G11">
        <v>242.3</v>
      </c>
      <c r="H11">
        <v>249811.3</v>
      </c>
      <c r="I11">
        <v>0</v>
      </c>
      <c r="J11">
        <v>1</v>
      </c>
      <c r="K11" s="11">
        <v>249811.3</v>
      </c>
      <c r="L11" s="12">
        <f t="shared" si="0"/>
        <v>8.8170498532086014E-3</v>
      </c>
      <c r="M11" t="s">
        <v>608</v>
      </c>
    </row>
    <row r="12" spans="1:13" x14ac:dyDescent="0.25">
      <c r="A12" t="s">
        <v>18</v>
      </c>
      <c r="B12" t="s">
        <v>28</v>
      </c>
      <c r="C12" t="s">
        <v>29</v>
      </c>
      <c r="D12" t="s">
        <v>21</v>
      </c>
      <c r="E12">
        <v>1466</v>
      </c>
      <c r="F12">
        <v>256.99471351</v>
      </c>
      <c r="G12">
        <v>268.05</v>
      </c>
      <c r="H12">
        <v>392961.3</v>
      </c>
      <c r="I12">
        <v>0</v>
      </c>
      <c r="J12">
        <v>1</v>
      </c>
      <c r="K12" s="11">
        <v>392961.3</v>
      </c>
      <c r="L12" s="12">
        <f t="shared" si="0"/>
        <v>1.3869506193201275E-2</v>
      </c>
      <c r="M12" t="s">
        <v>493</v>
      </c>
    </row>
    <row r="13" spans="1:13" x14ac:dyDescent="0.25">
      <c r="A13" t="s">
        <v>18</v>
      </c>
      <c r="B13" t="s">
        <v>30</v>
      </c>
      <c r="C13" t="s">
        <v>31</v>
      </c>
      <c r="D13" t="s">
        <v>21</v>
      </c>
      <c r="E13">
        <v>2481</v>
      </c>
      <c r="F13">
        <v>143.06002821000001</v>
      </c>
      <c r="G13">
        <v>147.4</v>
      </c>
      <c r="H13">
        <v>365699.4</v>
      </c>
      <c r="I13">
        <v>0</v>
      </c>
      <c r="J13">
        <v>1</v>
      </c>
      <c r="K13" s="11">
        <v>365699.4</v>
      </c>
      <c r="L13" s="12">
        <f t="shared" si="0"/>
        <v>1.2907301795749329E-2</v>
      </c>
      <c r="M13" t="s">
        <v>484</v>
      </c>
    </row>
    <row r="14" spans="1:13" x14ac:dyDescent="0.25">
      <c r="A14" t="s">
        <v>18</v>
      </c>
      <c r="B14" t="s">
        <v>32</v>
      </c>
      <c r="C14" t="s">
        <v>33</v>
      </c>
      <c r="D14" t="s">
        <v>21</v>
      </c>
      <c r="E14">
        <v>1730</v>
      </c>
      <c r="F14">
        <v>58.55</v>
      </c>
      <c r="G14">
        <v>62.1</v>
      </c>
      <c r="H14">
        <v>107433</v>
      </c>
      <c r="I14">
        <v>0</v>
      </c>
      <c r="J14">
        <v>1</v>
      </c>
      <c r="K14" s="11">
        <v>107433</v>
      </c>
      <c r="L14" s="12">
        <f t="shared" si="0"/>
        <v>3.7918305412115456E-3</v>
      </c>
      <c r="M14" t="s">
        <v>916</v>
      </c>
    </row>
    <row r="15" spans="1:13" x14ac:dyDescent="0.25">
      <c r="A15" t="s">
        <v>18</v>
      </c>
      <c r="B15" t="s">
        <v>34</v>
      </c>
      <c r="C15" t="s">
        <v>35</v>
      </c>
      <c r="D15" t="s">
        <v>36</v>
      </c>
      <c r="E15">
        <v>938</v>
      </c>
      <c r="F15">
        <v>70.993198289999995</v>
      </c>
      <c r="G15">
        <v>68.69</v>
      </c>
      <c r="H15">
        <v>64431.22</v>
      </c>
      <c r="I15">
        <v>0</v>
      </c>
      <c r="J15">
        <v>1.1712344800000001</v>
      </c>
      <c r="K15" s="13">
        <v>75464.070000000007</v>
      </c>
      <c r="L15" s="12">
        <f t="shared" si="0"/>
        <v>2.6634922732319305E-3</v>
      </c>
      <c r="M15" t="s">
        <v>770</v>
      </c>
    </row>
    <row r="16" spans="1:13" x14ac:dyDescent="0.25">
      <c r="A16" t="s">
        <v>18</v>
      </c>
      <c r="B16" t="s">
        <v>37</v>
      </c>
      <c r="C16" t="s">
        <v>38</v>
      </c>
      <c r="D16" t="s">
        <v>36</v>
      </c>
      <c r="E16">
        <v>3500</v>
      </c>
      <c r="F16">
        <v>24.4404</v>
      </c>
      <c r="G16">
        <v>25.68</v>
      </c>
      <c r="H16">
        <v>89880</v>
      </c>
      <c r="I16">
        <v>0</v>
      </c>
      <c r="J16">
        <v>1.1712344800000001</v>
      </c>
      <c r="K16" s="13">
        <v>105270.56</v>
      </c>
      <c r="L16" s="12">
        <f t="shared" si="0"/>
        <v>3.7155075674926929E-3</v>
      </c>
      <c r="M16" t="s">
        <v>641</v>
      </c>
    </row>
    <row r="17" spans="1:13" x14ac:dyDescent="0.25">
      <c r="A17" t="s">
        <v>18</v>
      </c>
      <c r="B17" t="s">
        <v>39</v>
      </c>
      <c r="C17" t="s">
        <v>40</v>
      </c>
      <c r="D17" t="s">
        <v>36</v>
      </c>
      <c r="E17">
        <v>6206</v>
      </c>
      <c r="F17">
        <v>35.221844990000001</v>
      </c>
      <c r="G17">
        <v>25.46</v>
      </c>
      <c r="H17">
        <v>158004.76</v>
      </c>
      <c r="I17">
        <v>0</v>
      </c>
      <c r="J17">
        <v>1.1712344800000001</v>
      </c>
      <c r="K17" s="13">
        <v>185060.62</v>
      </c>
      <c r="L17" s="12">
        <f t="shared" si="0"/>
        <v>6.5316849654346813E-3</v>
      </c>
      <c r="M17" t="s">
        <v>323</v>
      </c>
    </row>
    <row r="18" spans="1:13" x14ac:dyDescent="0.25">
      <c r="A18" t="s">
        <v>18</v>
      </c>
      <c r="B18" t="s">
        <v>41</v>
      </c>
      <c r="C18" t="s">
        <v>42</v>
      </c>
      <c r="D18" t="s">
        <v>36</v>
      </c>
      <c r="E18">
        <v>29054</v>
      </c>
      <c r="F18">
        <v>12.813777099999999</v>
      </c>
      <c r="G18">
        <v>14.156000000000001</v>
      </c>
      <c r="H18">
        <v>411288.42</v>
      </c>
      <c r="I18">
        <v>0</v>
      </c>
      <c r="J18">
        <v>1.1712344800000001</v>
      </c>
      <c r="K18" s="13">
        <v>481715.18</v>
      </c>
      <c r="L18" s="12">
        <f t="shared" si="0"/>
        <v>1.7002060183455896E-2</v>
      </c>
      <c r="M18" t="s">
        <v>424</v>
      </c>
    </row>
    <row r="19" spans="1:13" x14ac:dyDescent="0.25">
      <c r="A19" t="s">
        <v>18</v>
      </c>
      <c r="B19" t="s">
        <v>43</v>
      </c>
      <c r="C19" t="s">
        <v>44</v>
      </c>
      <c r="D19" t="s">
        <v>36</v>
      </c>
      <c r="E19">
        <v>4990</v>
      </c>
      <c r="F19">
        <v>32.089891780000002</v>
      </c>
      <c r="G19">
        <v>33.055</v>
      </c>
      <c r="H19">
        <v>164944.45000000001</v>
      </c>
      <c r="I19">
        <v>0</v>
      </c>
      <c r="J19">
        <v>1.1712344800000001</v>
      </c>
      <c r="K19" s="13">
        <v>193188.63</v>
      </c>
      <c r="L19" s="12">
        <f t="shared" si="0"/>
        <v>6.8185617775619878E-3</v>
      </c>
      <c r="M19" t="s">
        <v>794</v>
      </c>
    </row>
    <row r="20" spans="1:13" x14ac:dyDescent="0.25">
      <c r="A20" t="s">
        <v>18</v>
      </c>
      <c r="B20" t="s">
        <v>45</v>
      </c>
      <c r="C20" t="s">
        <v>46</v>
      </c>
      <c r="D20" t="s">
        <v>21</v>
      </c>
      <c r="E20">
        <v>18615</v>
      </c>
      <c r="F20">
        <v>45.546194999999997</v>
      </c>
      <c r="G20">
        <v>48.38</v>
      </c>
      <c r="H20">
        <v>900593.7</v>
      </c>
      <c r="I20">
        <v>0</v>
      </c>
      <c r="J20">
        <v>1</v>
      </c>
      <c r="K20" s="13">
        <v>900593.7</v>
      </c>
      <c r="L20" s="12">
        <f t="shared" si="0"/>
        <v>3.1786310508714347E-2</v>
      </c>
      <c r="M20" t="s">
        <v>290</v>
      </c>
    </row>
    <row r="21" spans="1:13" x14ac:dyDescent="0.25">
      <c r="A21" t="s">
        <v>18</v>
      </c>
      <c r="B21" t="s">
        <v>47</v>
      </c>
      <c r="C21" t="s">
        <v>48</v>
      </c>
      <c r="D21" t="s">
        <v>49</v>
      </c>
      <c r="E21">
        <v>8391</v>
      </c>
      <c r="F21">
        <v>101.84922297999999</v>
      </c>
      <c r="G21">
        <v>99.87</v>
      </c>
      <c r="H21">
        <v>838009.17</v>
      </c>
      <c r="I21">
        <v>0</v>
      </c>
      <c r="J21">
        <v>0.87881184999999995</v>
      </c>
      <c r="K21" s="13">
        <v>736452.39</v>
      </c>
      <c r="L21" s="12">
        <f t="shared" si="0"/>
        <v>2.5992969241762181E-2</v>
      </c>
      <c r="M21" t="s">
        <v>325</v>
      </c>
    </row>
    <row r="22" spans="1:13" x14ac:dyDescent="0.25">
      <c r="A22" t="s">
        <v>18</v>
      </c>
      <c r="B22" t="s">
        <v>50</v>
      </c>
      <c r="C22" t="s">
        <v>51</v>
      </c>
      <c r="D22" t="s">
        <v>21</v>
      </c>
      <c r="E22">
        <v>39491</v>
      </c>
      <c r="F22">
        <v>11.495734219999999</v>
      </c>
      <c r="G22">
        <v>13.91</v>
      </c>
      <c r="H22">
        <v>549319.81000000006</v>
      </c>
      <c r="I22">
        <v>0</v>
      </c>
      <c r="J22">
        <v>1</v>
      </c>
      <c r="K22" s="13">
        <v>549319.81000000006</v>
      </c>
      <c r="L22" s="12">
        <f t="shared" si="0"/>
        <v>1.9388154779728051E-2</v>
      </c>
      <c r="M22" t="s">
        <v>742</v>
      </c>
    </row>
    <row r="23" spans="1:13" x14ac:dyDescent="0.25">
      <c r="A23" t="s">
        <v>18</v>
      </c>
      <c r="B23" t="s">
        <v>52</v>
      </c>
      <c r="C23" t="s">
        <v>53</v>
      </c>
      <c r="D23" t="s">
        <v>21</v>
      </c>
      <c r="E23">
        <v>1709</v>
      </c>
      <c r="F23">
        <v>57.264610879999999</v>
      </c>
      <c r="G23">
        <v>52.26</v>
      </c>
      <c r="H23">
        <v>89312.34</v>
      </c>
      <c r="I23">
        <v>0</v>
      </c>
      <c r="J23">
        <v>1</v>
      </c>
      <c r="K23" s="13">
        <v>89312.34</v>
      </c>
      <c r="L23" s="12">
        <f t="shared" si="0"/>
        <v>3.1522647465775837E-3</v>
      </c>
      <c r="M23" t="s">
        <v>746</v>
      </c>
    </row>
    <row r="24" spans="1:13" x14ac:dyDescent="0.25">
      <c r="A24" t="s">
        <v>18</v>
      </c>
      <c r="B24" t="s">
        <v>54</v>
      </c>
      <c r="C24" t="s">
        <v>55</v>
      </c>
      <c r="D24" t="s">
        <v>21</v>
      </c>
      <c r="E24">
        <v>128949</v>
      </c>
      <c r="F24">
        <v>3.8415594500000001</v>
      </c>
      <c r="G24">
        <v>4.4080000000000004</v>
      </c>
      <c r="H24">
        <v>568407.18999999994</v>
      </c>
      <c r="I24">
        <v>0</v>
      </c>
      <c r="J24">
        <v>1</v>
      </c>
      <c r="K24" s="13">
        <v>568407.18999999994</v>
      </c>
      <c r="L24" s="12">
        <f t="shared" si="0"/>
        <v>2.0061840802046239E-2</v>
      </c>
      <c r="M24" t="s">
        <v>852</v>
      </c>
    </row>
    <row r="25" spans="1:13" x14ac:dyDescent="0.25">
      <c r="A25" t="s">
        <v>18</v>
      </c>
      <c r="B25" t="s">
        <v>56</v>
      </c>
      <c r="C25" t="s">
        <v>57</v>
      </c>
      <c r="D25" t="s">
        <v>21</v>
      </c>
      <c r="E25">
        <v>8425</v>
      </c>
      <c r="F25">
        <v>29.914554299999999</v>
      </c>
      <c r="G25">
        <v>37.68</v>
      </c>
      <c r="H25">
        <v>317454</v>
      </c>
      <c r="I25">
        <v>0</v>
      </c>
      <c r="J25">
        <v>1</v>
      </c>
      <c r="K25" s="13">
        <v>317454</v>
      </c>
      <c r="L25" s="12">
        <f t="shared" si="0"/>
        <v>1.1204488124037959E-2</v>
      </c>
      <c r="M25" t="s">
        <v>744</v>
      </c>
    </row>
    <row r="26" spans="1:13" x14ac:dyDescent="0.25">
      <c r="A26" t="s">
        <v>18</v>
      </c>
      <c r="B26" t="s">
        <v>58</v>
      </c>
      <c r="C26" t="s">
        <v>59</v>
      </c>
      <c r="D26" t="s">
        <v>21</v>
      </c>
      <c r="E26">
        <v>1500</v>
      </c>
      <c r="F26">
        <v>34.26</v>
      </c>
      <c r="G26">
        <v>34.36</v>
      </c>
      <c r="H26">
        <v>51540</v>
      </c>
      <c r="I26">
        <v>0</v>
      </c>
      <c r="J26">
        <v>1</v>
      </c>
      <c r="K26" s="13">
        <v>51540</v>
      </c>
      <c r="L26" s="12">
        <f t="shared" si="0"/>
        <v>1.8190960514371101E-3</v>
      </c>
      <c r="M26" t="s">
        <v>784</v>
      </c>
    </row>
    <row r="27" spans="1:13" x14ac:dyDescent="0.25">
      <c r="A27" t="s">
        <v>18</v>
      </c>
      <c r="B27" t="s">
        <v>60</v>
      </c>
      <c r="C27" t="s">
        <v>61</v>
      </c>
      <c r="D27" t="s">
        <v>21</v>
      </c>
      <c r="E27">
        <v>11909</v>
      </c>
      <c r="F27">
        <v>57.835589050000003</v>
      </c>
      <c r="G27">
        <v>55.7</v>
      </c>
      <c r="H27">
        <v>663331.30000000005</v>
      </c>
      <c r="I27">
        <v>0</v>
      </c>
      <c r="J27">
        <v>1</v>
      </c>
      <c r="K27" s="13">
        <v>663331.30000000005</v>
      </c>
      <c r="L27" s="12">
        <f t="shared" si="0"/>
        <v>2.3412172072655127E-2</v>
      </c>
      <c r="M27" t="s">
        <v>386</v>
      </c>
    </row>
    <row r="28" spans="1:13" x14ac:dyDescent="0.25">
      <c r="A28" t="s">
        <v>18</v>
      </c>
      <c r="B28" t="s">
        <v>62</v>
      </c>
      <c r="C28" t="s">
        <v>63</v>
      </c>
      <c r="D28" t="s">
        <v>49</v>
      </c>
      <c r="E28">
        <v>277</v>
      </c>
      <c r="F28">
        <v>306.39498194999999</v>
      </c>
      <c r="G28">
        <v>319.08999999999997</v>
      </c>
      <c r="H28">
        <v>88387.93</v>
      </c>
      <c r="I28">
        <v>0</v>
      </c>
      <c r="J28">
        <v>0.87881184999999995</v>
      </c>
      <c r="K28" s="13">
        <v>77676.36</v>
      </c>
      <c r="L28" s="12">
        <f t="shared" si="0"/>
        <v>2.7415746947226909E-3</v>
      </c>
      <c r="M28" t="s">
        <v>660</v>
      </c>
    </row>
    <row r="29" spans="1:13" x14ac:dyDescent="0.25">
      <c r="A29" t="s">
        <v>18</v>
      </c>
      <c r="B29" t="s">
        <v>64</v>
      </c>
      <c r="C29" t="s">
        <v>65</v>
      </c>
      <c r="D29" t="s">
        <v>49</v>
      </c>
      <c r="E29">
        <v>65</v>
      </c>
      <c r="F29">
        <v>980.39661537999996</v>
      </c>
      <c r="G29">
        <v>1196.03</v>
      </c>
      <c r="H29">
        <v>77741.95</v>
      </c>
      <c r="I29">
        <v>0</v>
      </c>
      <c r="J29">
        <v>0.87881184999999995</v>
      </c>
      <c r="K29" s="13">
        <v>68320.55</v>
      </c>
      <c r="L29" s="12">
        <f t="shared" si="0"/>
        <v>2.4113628780949099E-3</v>
      </c>
      <c r="M29" t="s">
        <v>732</v>
      </c>
    </row>
    <row r="30" spans="1:13" x14ac:dyDescent="0.25">
      <c r="A30" t="s">
        <v>18</v>
      </c>
      <c r="B30" t="s">
        <v>66</v>
      </c>
      <c r="C30" t="s">
        <v>67</v>
      </c>
      <c r="D30" t="s">
        <v>49</v>
      </c>
      <c r="E30">
        <v>115</v>
      </c>
      <c r="F30">
        <v>1775.01173913</v>
      </c>
      <c r="G30">
        <v>1801.44</v>
      </c>
      <c r="H30">
        <v>207165.6</v>
      </c>
      <c r="I30">
        <v>0</v>
      </c>
      <c r="J30">
        <v>0.87881184999999995</v>
      </c>
      <c r="K30" s="13">
        <v>182059.58</v>
      </c>
      <c r="L30" s="12">
        <f t="shared" si="0"/>
        <v>6.4257637389270204E-3</v>
      </c>
      <c r="M30" t="s">
        <v>489</v>
      </c>
    </row>
    <row r="31" spans="1:13" x14ac:dyDescent="0.25">
      <c r="A31" t="s">
        <v>18</v>
      </c>
      <c r="B31" t="s">
        <v>68</v>
      </c>
      <c r="C31" t="s">
        <v>69</v>
      </c>
      <c r="D31" t="s">
        <v>49</v>
      </c>
      <c r="E31">
        <v>2673</v>
      </c>
      <c r="F31">
        <v>116.51125327</v>
      </c>
      <c r="G31">
        <v>93.19</v>
      </c>
      <c r="H31">
        <v>249096.87</v>
      </c>
      <c r="I31">
        <v>0</v>
      </c>
      <c r="J31">
        <v>0.87881184999999995</v>
      </c>
      <c r="K31" s="13">
        <v>218909.28</v>
      </c>
      <c r="L31" s="12">
        <f t="shared" si="0"/>
        <v>7.7263680029286139E-3</v>
      </c>
      <c r="M31" t="s">
        <v>700</v>
      </c>
    </row>
    <row r="32" spans="1:13" x14ac:dyDescent="0.25">
      <c r="A32" t="s">
        <v>18</v>
      </c>
      <c r="B32" t="s">
        <v>70</v>
      </c>
      <c r="C32" t="s">
        <v>71</v>
      </c>
      <c r="D32" t="s">
        <v>21</v>
      </c>
      <c r="E32">
        <v>19014</v>
      </c>
      <c r="F32">
        <v>16.168126640000001</v>
      </c>
      <c r="G32">
        <v>18.21</v>
      </c>
      <c r="H32">
        <v>346244.94</v>
      </c>
      <c r="I32">
        <v>0</v>
      </c>
      <c r="J32">
        <v>1</v>
      </c>
      <c r="K32" s="13">
        <v>346244.94</v>
      </c>
      <c r="L32" s="12">
        <f t="shared" si="0"/>
        <v>1.2220659743579339E-2</v>
      </c>
      <c r="M32" t="s">
        <v>915</v>
      </c>
    </row>
    <row r="33" spans="1:13" x14ac:dyDescent="0.25">
      <c r="A33" t="s">
        <v>18</v>
      </c>
      <c r="B33" t="s">
        <v>72</v>
      </c>
      <c r="C33" t="s">
        <v>73</v>
      </c>
      <c r="D33" t="s">
        <v>21</v>
      </c>
      <c r="E33">
        <v>5040</v>
      </c>
      <c r="F33">
        <v>49.753563489999998</v>
      </c>
      <c r="G33">
        <v>56.4</v>
      </c>
      <c r="H33">
        <v>284256</v>
      </c>
      <c r="I33">
        <v>0</v>
      </c>
      <c r="J33">
        <v>1</v>
      </c>
      <c r="K33" s="13">
        <v>284256</v>
      </c>
      <c r="L33" s="12">
        <f t="shared" si="0"/>
        <v>1.0032770027111121E-2</v>
      </c>
      <c r="M33" t="s">
        <v>904</v>
      </c>
    </row>
    <row r="34" spans="1:13" x14ac:dyDescent="0.25">
      <c r="A34" t="s">
        <v>18</v>
      </c>
      <c r="B34" t="s">
        <v>74</v>
      </c>
      <c r="C34" t="s">
        <v>75</v>
      </c>
      <c r="D34" t="s">
        <v>36</v>
      </c>
      <c r="E34">
        <v>150498</v>
      </c>
      <c r="F34">
        <v>1.8290315500000001</v>
      </c>
      <c r="G34">
        <v>1.768</v>
      </c>
      <c r="H34">
        <v>266080.46000000002</v>
      </c>
      <c r="I34">
        <v>0</v>
      </c>
      <c r="J34">
        <v>1.1712344800000001</v>
      </c>
      <c r="K34" s="13">
        <v>311642.61</v>
      </c>
      <c r="L34" s="12">
        <f t="shared" si="0"/>
        <v>1.0999376044054234E-2</v>
      </c>
      <c r="M34" t="s">
        <v>578</v>
      </c>
    </row>
    <row r="35" spans="1:13" x14ac:dyDescent="0.25">
      <c r="A35" t="s">
        <v>18</v>
      </c>
      <c r="B35" t="s">
        <v>76</v>
      </c>
      <c r="C35" t="s">
        <v>77</v>
      </c>
      <c r="D35" t="s">
        <v>21</v>
      </c>
      <c r="E35">
        <v>3400</v>
      </c>
      <c r="F35">
        <v>91</v>
      </c>
      <c r="G35">
        <v>83.2</v>
      </c>
      <c r="H35">
        <v>282880</v>
      </c>
      <c r="I35">
        <v>0</v>
      </c>
      <c r="J35">
        <v>1</v>
      </c>
      <c r="K35" s="13">
        <v>282880</v>
      </c>
      <c r="L35" s="12">
        <f t="shared" si="0"/>
        <v>9.9842043273288654E-3</v>
      </c>
      <c r="M35" t="s">
        <v>914</v>
      </c>
    </row>
    <row r="36" spans="1:13" x14ac:dyDescent="0.25">
      <c r="A36" t="s">
        <v>18</v>
      </c>
      <c r="B36" t="s">
        <v>78</v>
      </c>
      <c r="C36" t="s">
        <v>79</v>
      </c>
      <c r="D36" t="s">
        <v>21</v>
      </c>
      <c r="E36">
        <v>24792</v>
      </c>
      <c r="F36">
        <v>31.009982659999999</v>
      </c>
      <c r="G36">
        <v>29.14</v>
      </c>
      <c r="H36">
        <v>722438.88</v>
      </c>
      <c r="I36">
        <v>0</v>
      </c>
      <c r="J36">
        <v>1</v>
      </c>
      <c r="K36" s="13">
        <v>722438.88</v>
      </c>
      <c r="L36" s="12">
        <f t="shared" si="0"/>
        <v>2.5498364649061859E-2</v>
      </c>
      <c r="M36" t="s">
        <v>783</v>
      </c>
    </row>
    <row r="37" spans="1:13" x14ac:dyDescent="0.25">
      <c r="A37" t="s">
        <v>18</v>
      </c>
      <c r="B37" t="s">
        <v>80</v>
      </c>
      <c r="C37" t="s">
        <v>81</v>
      </c>
      <c r="D37" t="s">
        <v>82</v>
      </c>
      <c r="E37">
        <v>11537</v>
      </c>
      <c r="F37">
        <v>69.792788419999994</v>
      </c>
      <c r="G37">
        <v>74.02</v>
      </c>
      <c r="H37">
        <v>853968.74</v>
      </c>
      <c r="I37">
        <v>0</v>
      </c>
      <c r="J37">
        <v>1.07503763</v>
      </c>
      <c r="K37" s="13">
        <v>918048.53</v>
      </c>
      <c r="L37" s="12">
        <f t="shared" si="0"/>
        <v>3.2402375940059049E-2</v>
      </c>
      <c r="M37" t="s">
        <v>294</v>
      </c>
    </row>
    <row r="38" spans="1:13" x14ac:dyDescent="0.25">
      <c r="A38" t="s">
        <v>18</v>
      </c>
      <c r="B38" t="s">
        <v>83</v>
      </c>
      <c r="C38" t="s">
        <v>84</v>
      </c>
      <c r="D38" t="s">
        <v>82</v>
      </c>
      <c r="E38">
        <v>1554</v>
      </c>
      <c r="F38">
        <v>141.00265766000001</v>
      </c>
      <c r="G38">
        <v>193.05</v>
      </c>
      <c r="H38">
        <v>299999.7</v>
      </c>
      <c r="I38">
        <v>0</v>
      </c>
      <c r="J38">
        <v>1.07503763</v>
      </c>
      <c r="K38" s="13">
        <v>322510.96999999997</v>
      </c>
      <c r="L38" s="12">
        <f t="shared" si="0"/>
        <v>1.1382973070860541E-2</v>
      </c>
      <c r="M38" t="s">
        <v>582</v>
      </c>
    </row>
    <row r="39" spans="1:13" x14ac:dyDescent="0.25">
      <c r="A39" t="s">
        <v>18</v>
      </c>
      <c r="B39" t="s">
        <v>85</v>
      </c>
      <c r="C39" t="s">
        <v>86</v>
      </c>
      <c r="D39" t="s">
        <v>82</v>
      </c>
      <c r="E39">
        <v>1205</v>
      </c>
      <c r="F39">
        <v>254.32706224</v>
      </c>
      <c r="G39">
        <v>232.6</v>
      </c>
      <c r="H39">
        <v>280283</v>
      </c>
      <c r="I39">
        <v>0</v>
      </c>
      <c r="J39">
        <v>1.07503763</v>
      </c>
      <c r="K39" s="13">
        <v>301314.77</v>
      </c>
      <c r="L39" s="12">
        <f t="shared" si="0"/>
        <v>1.0634856584142045E-2</v>
      </c>
      <c r="M39" t="s">
        <v>791</v>
      </c>
    </row>
    <row r="40" spans="1:13" x14ac:dyDescent="0.25">
      <c r="A40" t="s">
        <v>18</v>
      </c>
      <c r="B40" t="s">
        <v>87</v>
      </c>
      <c r="C40" t="s">
        <v>88</v>
      </c>
      <c r="D40" t="s">
        <v>82</v>
      </c>
      <c r="E40">
        <v>2217</v>
      </c>
      <c r="F40">
        <v>170.32293189000001</v>
      </c>
      <c r="G40">
        <v>155.85</v>
      </c>
      <c r="H40">
        <v>345519.45</v>
      </c>
      <c r="I40">
        <v>0</v>
      </c>
      <c r="J40">
        <v>1.07503763</v>
      </c>
      <c r="K40" s="13">
        <v>371446.41</v>
      </c>
      <c r="L40" s="12">
        <f t="shared" ref="L40:L68" si="1">(I40+K40)/$F$2</f>
        <v>1.3110141593936551E-2</v>
      </c>
      <c r="M40" t="s">
        <v>572</v>
      </c>
    </row>
    <row r="41" spans="1:13" x14ac:dyDescent="0.25">
      <c r="A41" t="s">
        <v>18</v>
      </c>
      <c r="B41" t="s">
        <v>89</v>
      </c>
      <c r="C41" t="s">
        <v>90</v>
      </c>
      <c r="D41" t="s">
        <v>21</v>
      </c>
      <c r="E41">
        <v>1599</v>
      </c>
      <c r="F41">
        <v>95.614377739999995</v>
      </c>
      <c r="G41">
        <v>81.55</v>
      </c>
      <c r="H41">
        <v>130398.45</v>
      </c>
      <c r="I41">
        <v>0</v>
      </c>
      <c r="J41">
        <v>1</v>
      </c>
      <c r="K41" s="13">
        <v>130398.45</v>
      </c>
      <c r="L41" s="12">
        <f t="shared" si="1"/>
        <v>4.6023924235257946E-3</v>
      </c>
      <c r="M41" t="s">
        <v>771</v>
      </c>
    </row>
    <row r="42" spans="1:13" x14ac:dyDescent="0.25">
      <c r="A42" t="s">
        <v>18</v>
      </c>
      <c r="B42" t="s">
        <v>91</v>
      </c>
      <c r="C42" t="s">
        <v>92</v>
      </c>
      <c r="D42" t="s">
        <v>21</v>
      </c>
      <c r="E42">
        <v>1210</v>
      </c>
      <c r="F42">
        <v>368.80975207</v>
      </c>
      <c r="G42">
        <v>342.6</v>
      </c>
      <c r="H42">
        <v>414546</v>
      </c>
      <c r="I42">
        <v>0</v>
      </c>
      <c r="J42">
        <v>1</v>
      </c>
      <c r="K42" s="13">
        <v>414546</v>
      </c>
      <c r="L42" s="12">
        <f t="shared" si="1"/>
        <v>1.4631334725243467E-2</v>
      </c>
      <c r="M42" t="s">
        <v>917</v>
      </c>
    </row>
    <row r="43" spans="1:13" x14ac:dyDescent="0.25">
      <c r="A43" s="14" t="s">
        <v>18</v>
      </c>
      <c r="B43" s="14" t="s">
        <v>93</v>
      </c>
      <c r="C43" s="14" t="s">
        <v>94</v>
      </c>
      <c r="D43" s="14" t="s">
        <v>21</v>
      </c>
      <c r="E43" s="14">
        <v>271</v>
      </c>
      <c r="F43" s="14">
        <v>150.1998893</v>
      </c>
      <c r="G43" s="14">
        <v>151.34</v>
      </c>
      <c r="H43" s="14">
        <v>41013.14</v>
      </c>
      <c r="I43">
        <v>0</v>
      </c>
      <c r="J43" s="14">
        <v>1</v>
      </c>
      <c r="K43" s="15">
        <v>41013.14</v>
      </c>
      <c r="L43" s="16">
        <f t="shared" si="1"/>
        <v>1.4475522124764726E-3</v>
      </c>
      <c r="M43" t="s">
        <v>361</v>
      </c>
    </row>
    <row r="44" spans="1:13" x14ac:dyDescent="0.25">
      <c r="A44" s="14" t="s">
        <v>18</v>
      </c>
      <c r="B44" s="14" t="s">
        <v>95</v>
      </c>
      <c r="C44" s="14" t="s">
        <v>96</v>
      </c>
      <c r="D44" s="14" t="s">
        <v>21</v>
      </c>
      <c r="E44" s="14">
        <v>12390</v>
      </c>
      <c r="F44" s="14">
        <v>25.72820016</v>
      </c>
      <c r="G44" s="14">
        <v>26.7</v>
      </c>
      <c r="H44" s="14">
        <v>330813</v>
      </c>
      <c r="I44">
        <v>0</v>
      </c>
      <c r="J44" s="14">
        <v>1</v>
      </c>
      <c r="K44" s="15">
        <v>330813</v>
      </c>
      <c r="L44" s="16">
        <f t="shared" si="1"/>
        <v>1.1675991891037345E-2</v>
      </c>
      <c r="M44" t="s">
        <v>485</v>
      </c>
    </row>
    <row r="45" spans="1:13" x14ac:dyDescent="0.25">
      <c r="A45" s="14" t="s">
        <v>18</v>
      </c>
      <c r="B45" s="14" t="s">
        <v>97</v>
      </c>
      <c r="C45" s="14" t="s">
        <v>98</v>
      </c>
      <c r="D45" s="14" t="s">
        <v>21</v>
      </c>
      <c r="E45" s="14">
        <v>2900</v>
      </c>
      <c r="F45" s="14">
        <v>50.33</v>
      </c>
      <c r="G45" s="14">
        <v>49.73</v>
      </c>
      <c r="H45" s="14">
        <v>144217</v>
      </c>
      <c r="I45">
        <v>0</v>
      </c>
      <c r="J45" s="14">
        <v>1</v>
      </c>
      <c r="K45" s="15">
        <v>144217</v>
      </c>
      <c r="L45" s="16">
        <f t="shared" si="1"/>
        <v>5.0901159342278948E-3</v>
      </c>
      <c r="M45" t="s">
        <v>905</v>
      </c>
    </row>
    <row r="46" spans="1:13" x14ac:dyDescent="0.25">
      <c r="A46" s="14" t="s">
        <v>18</v>
      </c>
      <c r="B46" s="14" t="s">
        <v>99</v>
      </c>
      <c r="C46" s="14" t="s">
        <v>100</v>
      </c>
      <c r="D46" s="14" t="s">
        <v>21</v>
      </c>
      <c r="E46" s="14">
        <v>43121</v>
      </c>
      <c r="F46" s="14">
        <v>9.9378442099999997</v>
      </c>
      <c r="G46" s="14">
        <v>11.98</v>
      </c>
      <c r="H46" s="14">
        <v>516589.58</v>
      </c>
      <c r="I46">
        <v>0</v>
      </c>
      <c r="J46" s="14">
        <v>1</v>
      </c>
      <c r="K46" s="15">
        <v>516589.58</v>
      </c>
      <c r="L46" s="16">
        <f t="shared" si="1"/>
        <v>1.8232946550088381E-2</v>
      </c>
      <c r="M46" t="s">
        <v>435</v>
      </c>
    </row>
    <row r="47" spans="1:13" x14ac:dyDescent="0.25">
      <c r="A47" s="14" t="s">
        <v>101</v>
      </c>
      <c r="B47" s="14" t="s">
        <v>102</v>
      </c>
      <c r="C47" s="14" t="s">
        <v>103</v>
      </c>
      <c r="D47" s="14" t="s">
        <v>21</v>
      </c>
      <c r="E47" s="14">
        <v>537</v>
      </c>
      <c r="F47" s="14">
        <v>1851.0870018600001</v>
      </c>
      <c r="G47" s="14">
        <v>1939.664</v>
      </c>
      <c r="H47" s="14">
        <v>1041599.57</v>
      </c>
      <c r="I47">
        <v>0</v>
      </c>
      <c r="J47" s="14">
        <v>1</v>
      </c>
      <c r="K47" s="15">
        <v>1041599.57</v>
      </c>
      <c r="L47" s="16">
        <f t="shared" si="1"/>
        <v>3.6763090123507793E-2</v>
      </c>
      <c r="M47" t="s">
        <v>614</v>
      </c>
    </row>
    <row r="48" spans="1:13" x14ac:dyDescent="0.25">
      <c r="A48" s="14" t="s">
        <v>101</v>
      </c>
      <c r="B48" s="14" t="s">
        <v>104</v>
      </c>
      <c r="C48" s="14" t="s">
        <v>105</v>
      </c>
      <c r="D48" s="14" t="s">
        <v>21</v>
      </c>
      <c r="E48" s="14">
        <v>1175</v>
      </c>
      <c r="F48" s="14">
        <v>1706.54</v>
      </c>
      <c r="G48" s="14">
        <v>1784.31</v>
      </c>
      <c r="H48" s="14">
        <v>2096564.25</v>
      </c>
      <c r="I48">
        <v>0</v>
      </c>
      <c r="J48" s="14">
        <v>1</v>
      </c>
      <c r="K48" s="15">
        <v>2096564.25</v>
      </c>
      <c r="L48" s="16">
        <f t="shared" si="1"/>
        <v>7.399789966548713E-2</v>
      </c>
      <c r="M48" t="s">
        <v>628</v>
      </c>
    </row>
    <row r="49" spans="1:13" x14ac:dyDescent="0.25">
      <c r="A49" s="14" t="s">
        <v>101</v>
      </c>
      <c r="B49" s="14" t="s">
        <v>106</v>
      </c>
      <c r="C49" s="14" t="s">
        <v>107</v>
      </c>
      <c r="D49" s="14" t="s">
        <v>21</v>
      </c>
      <c r="E49" s="14">
        <v>26300</v>
      </c>
      <c r="F49" s="14">
        <v>21.296900000000001</v>
      </c>
      <c r="G49" s="14">
        <v>21.274999999999999</v>
      </c>
      <c r="H49" s="14">
        <v>559532.5</v>
      </c>
      <c r="I49">
        <v>0</v>
      </c>
      <c r="J49" s="14">
        <v>1</v>
      </c>
      <c r="K49" s="15">
        <v>559532.5</v>
      </c>
      <c r="L49" s="16">
        <f t="shared" si="1"/>
        <v>1.9748610038819069E-2</v>
      </c>
      <c r="M49" t="s">
        <v>792</v>
      </c>
    </row>
    <row r="50" spans="1:13" x14ac:dyDescent="0.25">
      <c r="A50" s="14" t="s">
        <v>101</v>
      </c>
      <c r="B50" s="14" t="s">
        <v>108</v>
      </c>
      <c r="C50" s="14" t="s">
        <v>109</v>
      </c>
      <c r="D50" s="14" t="s">
        <v>21</v>
      </c>
      <c r="E50" s="14">
        <v>352</v>
      </c>
      <c r="F50" s="14">
        <v>1421.2119886400001</v>
      </c>
      <c r="G50" s="14">
        <v>1470.511</v>
      </c>
      <c r="H50" s="14">
        <v>517619.87</v>
      </c>
      <c r="I50">
        <v>0</v>
      </c>
      <c r="J50" s="14">
        <v>1</v>
      </c>
      <c r="K50" s="15">
        <v>517619.87</v>
      </c>
      <c r="L50" s="16">
        <f t="shared" si="1"/>
        <v>1.8269310470748742E-2</v>
      </c>
      <c r="M50" t="s">
        <v>612</v>
      </c>
    </row>
    <row r="51" spans="1:13" x14ac:dyDescent="0.25">
      <c r="A51" s="14" t="s">
        <v>101</v>
      </c>
      <c r="B51" s="14" t="s">
        <v>110</v>
      </c>
      <c r="C51" s="14" t="s">
        <v>111</v>
      </c>
      <c r="D51" s="14" t="s">
        <v>21</v>
      </c>
      <c r="E51" s="14">
        <v>6277</v>
      </c>
      <c r="F51" s="14">
        <v>159.63999999999999</v>
      </c>
      <c r="G51" s="14">
        <v>164.68</v>
      </c>
      <c r="H51" s="14">
        <v>1033696.36</v>
      </c>
      <c r="I51">
        <v>0</v>
      </c>
      <c r="J51" s="14">
        <v>1</v>
      </c>
      <c r="K51" s="15">
        <v>1033696.36</v>
      </c>
      <c r="L51" s="16">
        <f t="shared" si="1"/>
        <v>3.648414759140306E-2</v>
      </c>
      <c r="M51" t="s">
        <v>734</v>
      </c>
    </row>
    <row r="52" spans="1:13" x14ac:dyDescent="0.25">
      <c r="A52" s="14" t="s">
        <v>101</v>
      </c>
      <c r="B52" s="14" t="s">
        <v>112</v>
      </c>
      <c r="C52" s="14" t="s">
        <v>113</v>
      </c>
      <c r="D52" s="14" t="s">
        <v>21</v>
      </c>
      <c r="E52" s="14">
        <v>7871</v>
      </c>
      <c r="F52" s="14">
        <v>128.95803455999999</v>
      </c>
      <c r="G52" s="14">
        <v>136</v>
      </c>
      <c r="H52" s="14">
        <v>1070456</v>
      </c>
      <c r="I52">
        <v>0</v>
      </c>
      <c r="J52" s="14">
        <v>1</v>
      </c>
      <c r="K52" s="15">
        <v>1070456</v>
      </c>
      <c r="L52" s="16">
        <f t="shared" si="1"/>
        <v>3.7781573202118029E-2</v>
      </c>
      <c r="M52" t="s">
        <v>306</v>
      </c>
    </row>
    <row r="53" spans="1:13" x14ac:dyDescent="0.25">
      <c r="A53" s="14" t="s">
        <v>101</v>
      </c>
      <c r="B53" s="14" t="s">
        <v>114</v>
      </c>
      <c r="C53" s="14" t="s">
        <v>115</v>
      </c>
      <c r="D53" s="14" t="s">
        <v>21</v>
      </c>
      <c r="E53" s="14">
        <v>8368</v>
      </c>
      <c r="F53" s="14">
        <v>121.69</v>
      </c>
      <c r="G53" s="14">
        <v>130.27000000000001</v>
      </c>
      <c r="H53" s="14">
        <v>1090099.3600000001</v>
      </c>
      <c r="I53">
        <v>0</v>
      </c>
      <c r="J53" s="14">
        <v>1</v>
      </c>
      <c r="K53" s="15">
        <v>1090099.3600000001</v>
      </c>
      <c r="L53" s="16">
        <f t="shared" si="1"/>
        <v>3.8474882449556096E-2</v>
      </c>
      <c r="M53" t="s">
        <v>378</v>
      </c>
    </row>
    <row r="54" spans="1:13" x14ac:dyDescent="0.25">
      <c r="A54" s="14" t="s">
        <v>101</v>
      </c>
      <c r="B54" s="14" t="s">
        <v>116</v>
      </c>
      <c r="C54" s="14" t="s">
        <v>117</v>
      </c>
      <c r="D54" s="14" t="s">
        <v>21</v>
      </c>
      <c r="E54" s="14">
        <v>65363</v>
      </c>
      <c r="F54" s="14">
        <v>6.3830665700000004</v>
      </c>
      <c r="G54" s="14">
        <v>5.6840000000000002</v>
      </c>
      <c r="H54" s="14">
        <v>371523.29</v>
      </c>
      <c r="I54">
        <v>0</v>
      </c>
      <c r="J54" s="14">
        <v>1</v>
      </c>
      <c r="K54" s="15">
        <v>371523.29</v>
      </c>
      <c r="L54" s="16">
        <f t="shared" si="1"/>
        <v>1.3112855061232526E-2</v>
      </c>
      <c r="M54" t="s">
        <v>450</v>
      </c>
    </row>
    <row r="55" spans="1:13" x14ac:dyDescent="0.25">
      <c r="A55" s="14" t="s">
        <v>101</v>
      </c>
      <c r="B55" s="14" t="s">
        <v>118</v>
      </c>
      <c r="C55" s="14" t="s">
        <v>119</v>
      </c>
      <c r="D55" s="14" t="s">
        <v>49</v>
      </c>
      <c r="E55" s="14">
        <v>100000</v>
      </c>
      <c r="F55" s="14">
        <v>6.2849000000000004</v>
      </c>
      <c r="G55" s="14">
        <v>6.665</v>
      </c>
      <c r="H55" s="14">
        <v>666500</v>
      </c>
      <c r="I55">
        <v>0</v>
      </c>
      <c r="J55" s="14">
        <v>0.87881184999999995</v>
      </c>
      <c r="K55" s="15">
        <v>585728.1</v>
      </c>
      <c r="L55" s="16">
        <f t="shared" si="1"/>
        <v>2.0673179548423765E-2</v>
      </c>
      <c r="M55" t="s">
        <v>864</v>
      </c>
    </row>
    <row r="56" spans="1:13" x14ac:dyDescent="0.25">
      <c r="A56" s="14" t="s">
        <v>101</v>
      </c>
      <c r="B56" s="14" t="s">
        <v>120</v>
      </c>
      <c r="C56" s="14" t="s">
        <v>121</v>
      </c>
      <c r="D56" s="14" t="s">
        <v>21</v>
      </c>
      <c r="E56" s="14">
        <v>768</v>
      </c>
      <c r="F56" s="14">
        <v>354.24335938000002</v>
      </c>
      <c r="G56" s="14">
        <v>326.83999999999997</v>
      </c>
      <c r="H56" s="14">
        <v>251013.12</v>
      </c>
      <c r="I56">
        <v>0</v>
      </c>
      <c r="J56" s="14">
        <v>1</v>
      </c>
      <c r="K56" s="15">
        <v>251013.12</v>
      </c>
      <c r="L56" s="16">
        <f t="shared" si="1"/>
        <v>8.8594678977669677E-3</v>
      </c>
      <c r="M56" t="s">
        <v>301</v>
      </c>
    </row>
    <row r="57" spans="1:13" x14ac:dyDescent="0.25">
      <c r="A57" s="14" t="s">
        <v>101</v>
      </c>
      <c r="B57" s="14" t="s">
        <v>122</v>
      </c>
      <c r="C57" s="14" t="s">
        <v>123</v>
      </c>
      <c r="D57" s="14" t="s">
        <v>21</v>
      </c>
      <c r="E57" s="14">
        <v>1476</v>
      </c>
      <c r="F57" s="14">
        <v>216.8876626</v>
      </c>
      <c r="G57" s="14">
        <v>229.35</v>
      </c>
      <c r="H57" s="14">
        <v>338520.6</v>
      </c>
      <c r="I57">
        <v>0</v>
      </c>
      <c r="J57" s="14">
        <v>1</v>
      </c>
      <c r="K57" s="15">
        <v>338520.6</v>
      </c>
      <c r="L57" s="16">
        <f t="shared" si="1"/>
        <v>1.1948030399497891E-2</v>
      </c>
      <c r="M57" t="s">
        <v>296</v>
      </c>
    </row>
    <row r="58" spans="1:13" x14ac:dyDescent="0.25">
      <c r="A58" s="14" t="s">
        <v>101</v>
      </c>
      <c r="B58" s="14" t="s">
        <v>124</v>
      </c>
      <c r="C58" s="14" t="s">
        <v>125</v>
      </c>
      <c r="D58" s="14" t="s">
        <v>21</v>
      </c>
      <c r="E58" s="14">
        <v>4500</v>
      </c>
      <c r="F58" s="14">
        <v>111.79</v>
      </c>
      <c r="G58" s="14">
        <v>111.99</v>
      </c>
      <c r="H58" s="14">
        <v>503955</v>
      </c>
      <c r="I58">
        <v>0</v>
      </c>
      <c r="J58" s="14">
        <v>1</v>
      </c>
      <c r="K58" s="15">
        <v>503955</v>
      </c>
      <c r="L58" s="16">
        <f t="shared" si="1"/>
        <v>1.7787011071051396E-2</v>
      </c>
      <c r="M58" t="s">
        <v>573</v>
      </c>
    </row>
    <row r="59" spans="1:13" x14ac:dyDescent="0.25">
      <c r="A59" s="14" t="s">
        <v>101</v>
      </c>
      <c r="B59" s="14" t="s">
        <v>126</v>
      </c>
      <c r="C59" s="14" t="s">
        <v>127</v>
      </c>
      <c r="D59" s="14" t="s">
        <v>21</v>
      </c>
      <c r="E59" s="14">
        <v>14100</v>
      </c>
      <c r="F59" s="14">
        <v>118.58746879</v>
      </c>
      <c r="G59" s="14">
        <v>118.97572</v>
      </c>
      <c r="H59" s="14">
        <v>1677557.65</v>
      </c>
      <c r="I59">
        <v>0</v>
      </c>
      <c r="J59" s="14">
        <v>1</v>
      </c>
      <c r="K59" s="15">
        <v>1677557.65</v>
      </c>
      <c r="L59" s="16">
        <f t="shared" si="1"/>
        <v>5.9209128777126842E-2</v>
      </c>
      <c r="M59" t="s">
        <v>775</v>
      </c>
    </row>
    <row r="60" spans="1:13" x14ac:dyDescent="0.25">
      <c r="A60" s="14" t="s">
        <v>128</v>
      </c>
      <c r="B60" s="14" t="s">
        <v>129</v>
      </c>
      <c r="C60" s="14" t="s">
        <v>130</v>
      </c>
      <c r="D60" s="14" t="s">
        <v>21</v>
      </c>
      <c r="E60" s="14">
        <v>-12</v>
      </c>
      <c r="F60" s="14">
        <v>8336.2333333299994</v>
      </c>
      <c r="G60" s="14">
        <v>8388</v>
      </c>
      <c r="H60" s="14">
        <v>-6212</v>
      </c>
      <c r="I60">
        <v>0</v>
      </c>
      <c r="J60" s="14">
        <v>1</v>
      </c>
      <c r="K60" s="15">
        <v>-6212</v>
      </c>
      <c r="L60" s="16">
        <f t="shared" si="1"/>
        <v>-2.1925154581931176E-4</v>
      </c>
      <c r="M60" t="s">
        <v>918</v>
      </c>
    </row>
    <row r="61" spans="1:13" x14ac:dyDescent="0.25">
      <c r="A61" s="14" t="s">
        <v>128</v>
      </c>
      <c r="B61" s="14" t="s">
        <v>131</v>
      </c>
      <c r="C61" s="14" t="s">
        <v>132</v>
      </c>
      <c r="D61" s="14" t="s">
        <v>21</v>
      </c>
      <c r="E61" s="14">
        <v>-9</v>
      </c>
      <c r="F61" s="14">
        <v>6287</v>
      </c>
      <c r="G61" s="14">
        <v>6301</v>
      </c>
      <c r="H61" s="14">
        <v>-1260</v>
      </c>
      <c r="I61">
        <v>0</v>
      </c>
      <c r="J61" s="14">
        <v>1</v>
      </c>
      <c r="K61" s="15">
        <v>-1260</v>
      </c>
      <c r="L61" s="16">
        <f t="shared" si="1"/>
        <v>-4.4471498347123762E-5</v>
      </c>
      <c r="M61" t="s">
        <v>909</v>
      </c>
    </row>
    <row r="62" spans="1:13" x14ac:dyDescent="0.25">
      <c r="A62" s="14" t="s">
        <v>128</v>
      </c>
      <c r="B62" s="14" t="s">
        <v>133</v>
      </c>
      <c r="C62" s="14" t="s">
        <v>134</v>
      </c>
      <c r="D62" s="14" t="s">
        <v>49</v>
      </c>
      <c r="E62" s="14">
        <v>-6</v>
      </c>
      <c r="F62" s="14">
        <v>109.145</v>
      </c>
      <c r="G62" s="14">
        <v>108.105</v>
      </c>
      <c r="H62" s="14">
        <v>6750</v>
      </c>
      <c r="I62">
        <v>0</v>
      </c>
      <c r="J62" s="14">
        <v>0.87881184999999995</v>
      </c>
      <c r="K62" s="15">
        <v>5931.98</v>
      </c>
      <c r="L62" s="16">
        <f t="shared" si="1"/>
        <v>2.0936828473426287E-4</v>
      </c>
      <c r="M62" t="s">
        <v>912</v>
      </c>
    </row>
    <row r="63" spans="1:13" x14ac:dyDescent="0.25">
      <c r="A63" s="14" t="s">
        <v>128</v>
      </c>
      <c r="B63" s="14" t="s">
        <v>135</v>
      </c>
      <c r="C63" s="14" t="s">
        <v>136</v>
      </c>
      <c r="D63" s="14" t="s">
        <v>137</v>
      </c>
      <c r="E63" s="14">
        <v>-7</v>
      </c>
      <c r="F63" s="14">
        <v>184.13</v>
      </c>
      <c r="G63" s="14">
        <v>185.93</v>
      </c>
      <c r="H63" s="14">
        <v>-1575000</v>
      </c>
      <c r="I63">
        <v>0</v>
      </c>
      <c r="J63" s="14">
        <v>5.3669499999999997E-3</v>
      </c>
      <c r="K63" s="15">
        <v>-8452.9500000000007</v>
      </c>
      <c r="L63" s="16">
        <f t="shared" si="1"/>
        <v>-2.9834551742326975E-4</v>
      </c>
      <c r="M63" t="s">
        <v>898</v>
      </c>
    </row>
    <row r="64" spans="1:13" x14ac:dyDescent="0.25">
      <c r="A64" s="14" t="s">
        <v>128</v>
      </c>
      <c r="B64" s="14" t="s">
        <v>138</v>
      </c>
      <c r="C64" s="14" t="s">
        <v>139</v>
      </c>
      <c r="D64" s="14" t="s">
        <v>21</v>
      </c>
      <c r="E64" s="14">
        <v>-8</v>
      </c>
      <c r="F64" s="14">
        <v>125.83</v>
      </c>
      <c r="G64" s="14">
        <v>124.46</v>
      </c>
      <c r="H64" s="14">
        <v>10960</v>
      </c>
      <c r="I64">
        <v>0</v>
      </c>
      <c r="J64" s="14">
        <v>1</v>
      </c>
      <c r="K64" s="15">
        <v>10960</v>
      </c>
      <c r="L64" s="16">
        <f t="shared" si="1"/>
        <v>3.8683144594006067E-4</v>
      </c>
      <c r="M64" t="s">
        <v>892</v>
      </c>
    </row>
    <row r="65" spans="1:13" x14ac:dyDescent="0.25">
      <c r="A65" s="14" t="s">
        <v>128</v>
      </c>
      <c r="B65" s="14" t="s">
        <v>140</v>
      </c>
      <c r="C65" s="14" t="s">
        <v>141</v>
      </c>
      <c r="D65" s="14" t="s">
        <v>21</v>
      </c>
      <c r="E65" s="14">
        <v>-15</v>
      </c>
      <c r="F65" s="14">
        <v>118.91800000000001</v>
      </c>
      <c r="G65" s="14">
        <v>117.12</v>
      </c>
      <c r="H65" s="14">
        <v>26970</v>
      </c>
      <c r="I65">
        <v>0</v>
      </c>
      <c r="J65" s="14">
        <v>1</v>
      </c>
      <c r="K65" s="15">
        <v>26970</v>
      </c>
      <c r="L65" s="16">
        <f t="shared" si="1"/>
        <v>9.5190183366819676E-4</v>
      </c>
      <c r="M65" t="s">
        <v>894</v>
      </c>
    </row>
    <row r="66" spans="1:13" x14ac:dyDescent="0.25">
      <c r="A66" s="14" t="s">
        <v>128</v>
      </c>
      <c r="B66" s="14" t="s">
        <v>142</v>
      </c>
      <c r="C66" s="14" t="s">
        <v>143</v>
      </c>
      <c r="D66" s="14" t="s">
        <v>49</v>
      </c>
      <c r="E66" s="14">
        <v>-1</v>
      </c>
      <c r="F66" s="14">
        <v>28982.5</v>
      </c>
      <c r="G66" s="14">
        <v>28282.25</v>
      </c>
      <c r="H66" s="14">
        <v>14005</v>
      </c>
      <c r="I66">
        <v>0</v>
      </c>
      <c r="J66" s="14">
        <v>0.87881184999999995</v>
      </c>
      <c r="K66" s="15">
        <v>12307.76</v>
      </c>
      <c r="L66" s="16">
        <f t="shared" si="1"/>
        <v>4.3440041944190161E-4</v>
      </c>
      <c r="M66" t="s">
        <v>901</v>
      </c>
    </row>
    <row r="67" spans="1:13" x14ac:dyDescent="0.25">
      <c r="A67" s="14" t="s">
        <v>128</v>
      </c>
      <c r="B67" s="14" t="s">
        <v>144</v>
      </c>
      <c r="C67" s="14" t="s">
        <v>145</v>
      </c>
      <c r="D67" s="14" t="s">
        <v>21</v>
      </c>
      <c r="E67" s="14">
        <v>8</v>
      </c>
      <c r="F67" s="14">
        <v>121.16625000000001</v>
      </c>
      <c r="G67" s="14">
        <v>119.82</v>
      </c>
      <c r="H67" s="14">
        <v>-10770</v>
      </c>
      <c r="I67">
        <v>0</v>
      </c>
      <c r="J67" s="14">
        <v>1</v>
      </c>
      <c r="K67" s="15">
        <v>-10770</v>
      </c>
      <c r="L67" s="16">
        <f t="shared" si="1"/>
        <v>-3.8012542634803406E-4</v>
      </c>
      <c r="M67" t="s">
        <v>896</v>
      </c>
    </row>
    <row r="68" spans="1:13" x14ac:dyDescent="0.25">
      <c r="A68" s="14" t="s">
        <v>146</v>
      </c>
      <c r="B68" s="14" t="s">
        <v>147</v>
      </c>
      <c r="C68" s="14" t="s">
        <v>148</v>
      </c>
      <c r="D68" s="14" t="s">
        <v>49</v>
      </c>
      <c r="E68" s="14">
        <v>2000000</v>
      </c>
      <c r="F68" s="14">
        <v>1.0285774999999999</v>
      </c>
      <c r="G68" s="14">
        <v>101.3985</v>
      </c>
      <c r="H68" s="14">
        <v>2075449.17</v>
      </c>
      <c r="I68">
        <v>47479.17</v>
      </c>
      <c r="J68" s="14">
        <v>0.87881184999999995</v>
      </c>
      <c r="K68" s="15">
        <v>1823929.32</v>
      </c>
      <c r="L68" s="16">
        <f t="shared" si="1"/>
        <v>6.6051063150657438E-2</v>
      </c>
      <c r="M68" t="s">
        <v>736</v>
      </c>
    </row>
    <row r="69" spans="1:13" x14ac:dyDescent="0.25">
      <c r="I69" s="12"/>
      <c r="K69" s="1"/>
      <c r="L69" s="12"/>
    </row>
    <row r="70" spans="1:13" x14ac:dyDescent="0.25">
      <c r="A70" t="s">
        <v>149</v>
      </c>
      <c r="H70" s="17"/>
      <c r="I70" s="12"/>
      <c r="K70" s="1"/>
      <c r="L70" s="12"/>
    </row>
    <row r="71" spans="1:13" x14ac:dyDescent="0.25">
      <c r="A71" t="s">
        <v>150</v>
      </c>
      <c r="B71" t="s">
        <v>151</v>
      </c>
      <c r="C71" t="s">
        <v>8</v>
      </c>
      <c r="D71" t="s">
        <v>9</v>
      </c>
      <c r="E71" t="s">
        <v>10</v>
      </c>
      <c r="F71" t="s">
        <v>13</v>
      </c>
      <c r="G71" t="s">
        <v>16</v>
      </c>
      <c r="H71" s="17" t="s">
        <v>152</v>
      </c>
      <c r="I71" s="12" t="s">
        <v>17</v>
      </c>
      <c r="K71" s="1"/>
    </row>
    <row r="72" spans="1:13" x14ac:dyDescent="0.25">
      <c r="A72" t="s">
        <v>153</v>
      </c>
      <c r="B72" t="s">
        <v>154</v>
      </c>
      <c r="C72" t="s">
        <v>155</v>
      </c>
      <c r="D72" t="s">
        <v>82</v>
      </c>
      <c r="E72">
        <v>-282174.89</v>
      </c>
      <c r="F72">
        <v>-282343.3</v>
      </c>
      <c r="G72">
        <v>-303529.67</v>
      </c>
      <c r="H72" s="17">
        <v>-181.05</v>
      </c>
      <c r="I72" s="12">
        <f t="shared" ref="I72:I103" si="2">(G72+H72)/$F$2</f>
        <v>-1.0719421255939499E-2</v>
      </c>
      <c r="K72" s="1"/>
      <c r="L72" s="12"/>
    </row>
    <row r="73" spans="1:13" x14ac:dyDescent="0.25">
      <c r="A73" t="s">
        <v>153</v>
      </c>
      <c r="B73" t="s">
        <v>156</v>
      </c>
      <c r="C73" t="s">
        <v>155</v>
      </c>
      <c r="D73" t="s">
        <v>157</v>
      </c>
      <c r="E73">
        <v>-179860.91</v>
      </c>
      <c r="F73">
        <v>-181371.5</v>
      </c>
      <c r="G73">
        <v>-24261.15</v>
      </c>
      <c r="H73">
        <v>-202.06</v>
      </c>
      <c r="I73" s="12">
        <f t="shared" si="2"/>
        <v>-8.6342508180979496E-4</v>
      </c>
      <c r="K73" s="1"/>
    </row>
    <row r="74" spans="1:13" x14ac:dyDescent="0.25">
      <c r="A74" t="s">
        <v>153</v>
      </c>
      <c r="B74" t="s">
        <v>158</v>
      </c>
      <c r="C74" t="s">
        <v>155</v>
      </c>
      <c r="D74" t="s">
        <v>21</v>
      </c>
      <c r="E74">
        <v>537360.36</v>
      </c>
      <c r="F74">
        <v>537146.44999999995</v>
      </c>
      <c r="G74">
        <v>537146.44999999995</v>
      </c>
      <c r="H74" s="17">
        <v>-213.91</v>
      </c>
      <c r="I74" s="12">
        <f t="shared" si="2"/>
        <v>1.895094806756108E-2</v>
      </c>
      <c r="K74" s="1"/>
    </row>
    <row r="75" spans="1:13" x14ac:dyDescent="0.25">
      <c r="A75" t="s">
        <v>153</v>
      </c>
      <c r="B75" t="s">
        <v>159</v>
      </c>
      <c r="C75" t="s">
        <v>155</v>
      </c>
      <c r="D75" t="s">
        <v>36</v>
      </c>
      <c r="E75">
        <v>1046080.72</v>
      </c>
      <c r="F75">
        <v>1047955.8</v>
      </c>
      <c r="G75">
        <v>1227401.97</v>
      </c>
      <c r="H75" s="17">
        <v>2196.16</v>
      </c>
      <c r="I75" s="12">
        <f t="shared" si="2"/>
        <v>4.3398469211048785E-2</v>
      </c>
      <c r="K75" s="1"/>
    </row>
    <row r="76" spans="1:13" x14ac:dyDescent="0.25">
      <c r="A76" t="s">
        <v>153</v>
      </c>
      <c r="B76" t="s">
        <v>160</v>
      </c>
      <c r="C76" t="s">
        <v>155</v>
      </c>
      <c r="D76" t="s">
        <v>137</v>
      </c>
      <c r="E76">
        <v>-13846938</v>
      </c>
      <c r="F76">
        <v>-13872282</v>
      </c>
      <c r="G76">
        <v>-74451.89</v>
      </c>
      <c r="H76" s="17">
        <v>-136.02000000000001</v>
      </c>
      <c r="I76" s="12">
        <f t="shared" si="2"/>
        <v>-2.6325683462542987E-3</v>
      </c>
      <c r="K76" s="1"/>
    </row>
    <row r="77" spans="1:13" x14ac:dyDescent="0.25">
      <c r="A77" t="s">
        <v>153</v>
      </c>
      <c r="B77" t="s">
        <v>161</v>
      </c>
      <c r="C77" t="s">
        <v>155</v>
      </c>
      <c r="D77" t="s">
        <v>162</v>
      </c>
      <c r="E77">
        <v>1507561.01</v>
      </c>
      <c r="F77">
        <v>1508513.37</v>
      </c>
      <c r="G77">
        <v>136560.29999999999</v>
      </c>
      <c r="H77">
        <v>86.21</v>
      </c>
      <c r="I77" s="12">
        <f t="shared" si="2"/>
        <v>4.822916701273992E-3</v>
      </c>
      <c r="K77" s="1"/>
    </row>
    <row r="78" spans="1:13" x14ac:dyDescent="0.25">
      <c r="A78" t="s">
        <v>153</v>
      </c>
      <c r="B78" t="s">
        <v>163</v>
      </c>
      <c r="C78" t="s">
        <v>155</v>
      </c>
      <c r="D78" t="s">
        <v>49</v>
      </c>
      <c r="E78">
        <v>1025424.84</v>
      </c>
      <c r="F78">
        <v>1027330.53</v>
      </c>
      <c r="G78">
        <v>902830.24</v>
      </c>
      <c r="H78">
        <v>1674.74</v>
      </c>
      <c r="I78" s="12">
        <f t="shared" si="2"/>
        <v>3.1924358510345405E-2</v>
      </c>
      <c r="K78" s="1"/>
    </row>
    <row r="79" spans="1:13" x14ac:dyDescent="0.25">
      <c r="A79" t="s">
        <v>164</v>
      </c>
      <c r="B79" t="s">
        <v>26</v>
      </c>
      <c r="C79" t="s">
        <v>27</v>
      </c>
      <c r="D79" t="s">
        <v>21</v>
      </c>
      <c r="E79">
        <v>481</v>
      </c>
      <c r="F79">
        <v>481</v>
      </c>
      <c r="G79">
        <v>481</v>
      </c>
      <c r="H79">
        <v>0</v>
      </c>
      <c r="I79" s="12">
        <f t="shared" si="2"/>
        <v>1.6976818019814709E-5</v>
      </c>
      <c r="K79" s="1"/>
    </row>
    <row r="80" spans="1:13" x14ac:dyDescent="0.25">
      <c r="A80" t="s">
        <v>164</v>
      </c>
      <c r="B80" t="s">
        <v>56</v>
      </c>
      <c r="C80" t="s">
        <v>57</v>
      </c>
      <c r="D80" t="s">
        <v>21</v>
      </c>
      <c r="E80">
        <v>10315</v>
      </c>
      <c r="F80">
        <v>2672.41</v>
      </c>
      <c r="G80">
        <v>2672.41</v>
      </c>
      <c r="H80">
        <v>0</v>
      </c>
      <c r="I80" s="12">
        <f t="shared" si="2"/>
        <v>9.4322283252251592E-5</v>
      </c>
      <c r="K80" s="1"/>
      <c r="L80" s="12"/>
    </row>
    <row r="81" spans="1:12" x14ac:dyDescent="0.25">
      <c r="A81" t="s">
        <v>165</v>
      </c>
      <c r="B81" t="s">
        <v>166</v>
      </c>
      <c r="C81" t="s">
        <v>167</v>
      </c>
      <c r="D81" t="s">
        <v>21</v>
      </c>
      <c r="E81">
        <v>-1630.43</v>
      </c>
      <c r="F81">
        <v>-1630.43</v>
      </c>
      <c r="G81">
        <v>-1630.43</v>
      </c>
      <c r="H81" s="17">
        <v>0</v>
      </c>
      <c r="I81" s="12">
        <f t="shared" si="2"/>
        <v>-5.7545765912778572E-5</v>
      </c>
      <c r="K81" s="1"/>
    </row>
    <row r="82" spans="1:12" x14ac:dyDescent="0.25">
      <c r="A82" t="s">
        <v>165</v>
      </c>
      <c r="B82" t="s">
        <v>168</v>
      </c>
      <c r="C82" t="s">
        <v>169</v>
      </c>
      <c r="D82" t="s">
        <v>21</v>
      </c>
      <c r="E82">
        <v>-651.41999999999996</v>
      </c>
      <c r="F82">
        <v>-651.41999999999996</v>
      </c>
      <c r="G82">
        <v>-651.41999999999996</v>
      </c>
      <c r="H82">
        <v>0</v>
      </c>
      <c r="I82" s="12">
        <f t="shared" si="2"/>
        <v>-2.2991764645462986E-5</v>
      </c>
      <c r="K82" s="1"/>
    </row>
    <row r="83" spans="1:12" x14ac:dyDescent="0.25">
      <c r="A83" t="s">
        <v>165</v>
      </c>
      <c r="B83" t="s">
        <v>170</v>
      </c>
      <c r="C83" t="s">
        <v>171</v>
      </c>
      <c r="D83" t="s">
        <v>21</v>
      </c>
      <c r="E83">
        <v>-97.33</v>
      </c>
      <c r="F83">
        <v>-97.33</v>
      </c>
      <c r="G83">
        <v>-97.33</v>
      </c>
      <c r="H83" s="17">
        <v>0</v>
      </c>
      <c r="I83" s="12">
        <f t="shared" si="2"/>
        <v>-3.4352467731155208E-6</v>
      </c>
      <c r="K83" s="1"/>
    </row>
    <row r="84" spans="1:12" x14ac:dyDescent="0.25">
      <c r="A84" t="s">
        <v>165</v>
      </c>
      <c r="B84" t="s">
        <v>172</v>
      </c>
      <c r="C84" t="s">
        <v>173</v>
      </c>
      <c r="D84" t="s">
        <v>21</v>
      </c>
      <c r="E84">
        <v>-372.61</v>
      </c>
      <c r="F84">
        <v>-372.61</v>
      </c>
      <c r="G84">
        <v>-372.61</v>
      </c>
      <c r="H84">
        <v>0</v>
      </c>
      <c r="I84" s="12">
        <f t="shared" si="2"/>
        <v>-1.3151210316763323E-5</v>
      </c>
      <c r="K84" s="1"/>
    </row>
    <row r="85" spans="1:12" x14ac:dyDescent="0.25">
      <c r="A85" t="s">
        <v>165</v>
      </c>
      <c r="B85" t="s">
        <v>174</v>
      </c>
      <c r="C85" t="s">
        <v>175</v>
      </c>
      <c r="D85" t="s">
        <v>21</v>
      </c>
      <c r="E85">
        <v>-391.23</v>
      </c>
      <c r="F85">
        <v>-391.23</v>
      </c>
      <c r="G85">
        <v>-391.23</v>
      </c>
      <c r="H85" s="17">
        <v>0</v>
      </c>
      <c r="I85" s="12">
        <f t="shared" si="2"/>
        <v>-1.3808400236781929E-5</v>
      </c>
      <c r="K85" s="1"/>
      <c r="L85" s="12"/>
    </row>
    <row r="86" spans="1:12" x14ac:dyDescent="0.25">
      <c r="A86" t="s">
        <v>165</v>
      </c>
      <c r="B86" t="s">
        <v>176</v>
      </c>
      <c r="C86" t="s">
        <v>177</v>
      </c>
      <c r="D86" t="s">
        <v>21</v>
      </c>
      <c r="E86">
        <v>-195.63</v>
      </c>
      <c r="F86">
        <v>-195.63</v>
      </c>
      <c r="G86">
        <v>-195.63</v>
      </c>
      <c r="H86" s="17">
        <v>0</v>
      </c>
      <c r="I86" s="12">
        <f t="shared" si="2"/>
        <v>-6.904729540990335E-6</v>
      </c>
      <c r="K86" s="1"/>
    </row>
    <row r="87" spans="1:12" x14ac:dyDescent="0.25">
      <c r="A87" t="s">
        <v>165</v>
      </c>
      <c r="B87" t="s">
        <v>178</v>
      </c>
      <c r="C87" t="s">
        <v>179</v>
      </c>
      <c r="D87" t="s">
        <v>21</v>
      </c>
      <c r="E87">
        <v>-130.35</v>
      </c>
      <c r="F87">
        <v>-130.35</v>
      </c>
      <c r="G87">
        <v>-130.35</v>
      </c>
      <c r="H87" s="17">
        <v>0</v>
      </c>
      <c r="I87" s="12">
        <f t="shared" si="2"/>
        <v>-4.6006823885298275E-6</v>
      </c>
      <c r="K87" s="1"/>
    </row>
    <row r="88" spans="1:12" x14ac:dyDescent="0.25">
      <c r="A88" t="s">
        <v>165</v>
      </c>
      <c r="B88" t="s">
        <v>180</v>
      </c>
      <c r="C88" t="s">
        <v>181</v>
      </c>
      <c r="D88" t="s">
        <v>21</v>
      </c>
      <c r="E88">
        <v>-32.64</v>
      </c>
      <c r="F88">
        <v>-32.64</v>
      </c>
      <c r="G88">
        <v>-32.64</v>
      </c>
      <c r="H88" s="17">
        <v>0</v>
      </c>
      <c r="I88" s="12">
        <f t="shared" si="2"/>
        <v>-1.1520235762302537E-6</v>
      </c>
      <c r="K88" s="1"/>
      <c r="L88" s="12"/>
    </row>
    <row r="89" spans="1:12" x14ac:dyDescent="0.25">
      <c r="A89" t="s">
        <v>165</v>
      </c>
      <c r="B89" t="s">
        <v>182</v>
      </c>
      <c r="C89" t="s">
        <v>183</v>
      </c>
      <c r="D89" t="s">
        <v>21</v>
      </c>
      <c r="E89">
        <v>-28077.74</v>
      </c>
      <c r="F89">
        <v>-28077.74</v>
      </c>
      <c r="G89">
        <v>-28077.74</v>
      </c>
      <c r="H89" s="17">
        <v>0</v>
      </c>
      <c r="I89" s="12">
        <f t="shared" si="2"/>
        <v>-9.9099933968331013E-4</v>
      </c>
      <c r="K89" s="1"/>
      <c r="L89" s="12"/>
    </row>
    <row r="90" spans="1:12" x14ac:dyDescent="0.25">
      <c r="A90" t="s">
        <v>165</v>
      </c>
      <c r="B90" t="s">
        <v>184</v>
      </c>
      <c r="C90" t="s">
        <v>185</v>
      </c>
      <c r="D90" t="s">
        <v>21</v>
      </c>
      <c r="E90">
        <v>-1310.31</v>
      </c>
      <c r="F90">
        <v>-1310.31</v>
      </c>
      <c r="G90">
        <v>-1310.31</v>
      </c>
      <c r="H90">
        <v>0</v>
      </c>
      <c r="I90" s="12">
        <f t="shared" si="2"/>
        <v>-4.6247181745412488E-5</v>
      </c>
      <c r="K90" s="1"/>
      <c r="L90" s="12"/>
    </row>
    <row r="91" spans="1:12" x14ac:dyDescent="0.25">
      <c r="A91" t="s">
        <v>165</v>
      </c>
      <c r="B91" t="s">
        <v>186</v>
      </c>
      <c r="C91" t="s">
        <v>187</v>
      </c>
      <c r="D91" t="s">
        <v>21</v>
      </c>
      <c r="E91">
        <v>-690.21</v>
      </c>
      <c r="F91">
        <v>-690.21</v>
      </c>
      <c r="G91">
        <v>-690.21</v>
      </c>
      <c r="H91">
        <v>0</v>
      </c>
      <c r="I91" s="12">
        <f t="shared" si="2"/>
        <v>-2.4360851487435154E-5</v>
      </c>
      <c r="K91" s="1"/>
    </row>
    <row r="92" spans="1:12" x14ac:dyDescent="0.25">
      <c r="A92" t="s">
        <v>165</v>
      </c>
      <c r="B92" t="s">
        <v>188</v>
      </c>
      <c r="C92" t="s">
        <v>189</v>
      </c>
      <c r="D92" t="s">
        <v>21</v>
      </c>
      <c r="E92">
        <v>-752.47</v>
      </c>
      <c r="F92">
        <v>-752.47</v>
      </c>
      <c r="G92">
        <v>-752.47</v>
      </c>
      <c r="H92" s="17">
        <v>0</v>
      </c>
      <c r="I92" s="12">
        <f t="shared" si="2"/>
        <v>-2.6558308223222395E-5</v>
      </c>
      <c r="K92" s="1"/>
    </row>
    <row r="93" spans="1:12" x14ac:dyDescent="0.25">
      <c r="A93" t="s">
        <v>165</v>
      </c>
      <c r="B93" t="s">
        <v>190</v>
      </c>
      <c r="C93" t="s">
        <v>191</v>
      </c>
      <c r="D93" t="s">
        <v>21</v>
      </c>
      <c r="E93">
        <v>-6250.05</v>
      </c>
      <c r="F93">
        <v>-6250.05</v>
      </c>
      <c r="G93">
        <v>-6250.05</v>
      </c>
      <c r="H93">
        <v>0</v>
      </c>
      <c r="I93" s="12">
        <f t="shared" si="2"/>
        <v>-2.20594514479715E-4</v>
      </c>
      <c r="K93" s="1"/>
    </row>
    <row r="94" spans="1:12" x14ac:dyDescent="0.25">
      <c r="A94" t="s">
        <v>165</v>
      </c>
      <c r="B94" t="s">
        <v>192</v>
      </c>
      <c r="C94" t="s">
        <v>193</v>
      </c>
      <c r="D94" t="s">
        <v>21</v>
      </c>
      <c r="E94">
        <v>-2453.27</v>
      </c>
      <c r="F94">
        <v>-2453.27</v>
      </c>
      <c r="G94">
        <v>-2453.27</v>
      </c>
      <c r="H94">
        <v>0</v>
      </c>
      <c r="I94" s="12">
        <f t="shared" si="2"/>
        <v>-8.6587772023847875E-5</v>
      </c>
      <c r="K94" s="1"/>
    </row>
    <row r="95" spans="1:12" x14ac:dyDescent="0.25">
      <c r="A95" t="s">
        <v>165</v>
      </c>
      <c r="B95" t="s">
        <v>194</v>
      </c>
      <c r="C95" t="s">
        <v>195</v>
      </c>
      <c r="D95" t="s">
        <v>21</v>
      </c>
      <c r="E95">
        <v>-366.6</v>
      </c>
      <c r="F95">
        <v>-366.6</v>
      </c>
      <c r="G95">
        <v>-366.6</v>
      </c>
      <c r="H95">
        <v>0</v>
      </c>
      <c r="I95" s="12">
        <f t="shared" si="2"/>
        <v>-1.2939088328615534E-5</v>
      </c>
      <c r="K95" s="1"/>
    </row>
    <row r="96" spans="1:12" x14ac:dyDescent="0.25">
      <c r="A96" t="s">
        <v>165</v>
      </c>
      <c r="B96" t="s">
        <v>196</v>
      </c>
      <c r="C96" t="s">
        <v>197</v>
      </c>
      <c r="D96" t="s">
        <v>21</v>
      </c>
      <c r="E96">
        <v>-1169.1600000000001</v>
      </c>
      <c r="F96">
        <v>-1169.1600000000001</v>
      </c>
      <c r="G96">
        <v>-1169.1600000000001</v>
      </c>
      <c r="H96">
        <v>0</v>
      </c>
      <c r="I96" s="12">
        <f t="shared" si="2"/>
        <v>-4.1265315085335893E-5</v>
      </c>
      <c r="K96" s="1"/>
    </row>
    <row r="97" spans="1:13" x14ac:dyDescent="0.25">
      <c r="A97" t="s">
        <v>165</v>
      </c>
      <c r="B97" t="s">
        <v>198</v>
      </c>
      <c r="C97" t="s">
        <v>199</v>
      </c>
      <c r="D97" t="s">
        <v>21</v>
      </c>
      <c r="E97">
        <v>-6483.23</v>
      </c>
      <c r="F97">
        <v>-6483.23</v>
      </c>
      <c r="G97">
        <v>-6483.23</v>
      </c>
      <c r="H97">
        <v>0</v>
      </c>
      <c r="I97" s="12">
        <f t="shared" si="2"/>
        <v>-2.2882456526112952E-4</v>
      </c>
      <c r="K97" s="1"/>
    </row>
    <row r="98" spans="1:13" x14ac:dyDescent="0.25">
      <c r="A98" t="s">
        <v>165</v>
      </c>
      <c r="B98" t="s">
        <v>200</v>
      </c>
      <c r="C98" t="s">
        <v>201</v>
      </c>
      <c r="D98" t="s">
        <v>21</v>
      </c>
      <c r="E98">
        <v>-750</v>
      </c>
      <c r="F98">
        <v>-750</v>
      </c>
      <c r="G98">
        <v>-750</v>
      </c>
      <c r="H98" s="17">
        <v>0</v>
      </c>
      <c r="I98" s="12">
        <f t="shared" si="2"/>
        <v>-2.6471129968526051E-5</v>
      </c>
      <c r="K98" s="1"/>
    </row>
    <row r="99" spans="1:13" x14ac:dyDescent="0.25">
      <c r="A99" t="s">
        <v>165</v>
      </c>
      <c r="B99" t="s">
        <v>202</v>
      </c>
      <c r="C99" t="s">
        <v>203</v>
      </c>
      <c r="D99" t="s">
        <v>21</v>
      </c>
      <c r="E99">
        <v>-500</v>
      </c>
      <c r="F99">
        <v>-500</v>
      </c>
      <c r="G99">
        <v>-500</v>
      </c>
      <c r="H99" s="17">
        <v>0</v>
      </c>
      <c r="I99" s="12">
        <f t="shared" si="2"/>
        <v>-1.7647419979017365E-5</v>
      </c>
      <c r="K99" s="1"/>
      <c r="L99" s="12"/>
    </row>
    <row r="100" spans="1:13" x14ac:dyDescent="0.25">
      <c r="A100" t="s">
        <v>165</v>
      </c>
      <c r="B100" t="s">
        <v>204</v>
      </c>
      <c r="C100" t="s">
        <v>205</v>
      </c>
      <c r="D100" t="s">
        <v>21</v>
      </c>
      <c r="E100">
        <v>-723.73</v>
      </c>
      <c r="F100">
        <v>-723.73</v>
      </c>
      <c r="G100">
        <v>-723.73</v>
      </c>
      <c r="H100" s="17">
        <v>0</v>
      </c>
      <c r="I100" s="12">
        <f t="shared" si="2"/>
        <v>-2.5543934522828479E-5</v>
      </c>
      <c r="K100" s="1"/>
      <c r="L100" s="12"/>
    </row>
    <row r="101" spans="1:13" x14ac:dyDescent="0.25">
      <c r="A101" s="14" t="s">
        <v>165</v>
      </c>
      <c r="B101" s="14" t="s">
        <v>206</v>
      </c>
      <c r="C101" s="14" t="s">
        <v>207</v>
      </c>
      <c r="D101" s="14" t="s">
        <v>21</v>
      </c>
      <c r="E101" s="14">
        <v>-1699.95</v>
      </c>
      <c r="F101" s="14">
        <v>-1699.95</v>
      </c>
      <c r="G101" s="14">
        <v>-1699.95</v>
      </c>
      <c r="H101" s="14">
        <v>0</v>
      </c>
      <c r="I101" s="12">
        <f t="shared" si="2"/>
        <v>-5.9999463186661144E-5</v>
      </c>
      <c r="J101" s="14"/>
      <c r="K101" s="15"/>
      <c r="L101" s="16"/>
      <c r="M101" s="14"/>
    </row>
    <row r="102" spans="1:13" x14ac:dyDescent="0.25">
      <c r="A102" t="s">
        <v>165</v>
      </c>
      <c r="B102" t="s">
        <v>208</v>
      </c>
      <c r="C102" t="s">
        <v>209</v>
      </c>
      <c r="D102" t="s">
        <v>21</v>
      </c>
      <c r="E102">
        <v>-251.02</v>
      </c>
      <c r="F102">
        <v>-251.02</v>
      </c>
      <c r="G102">
        <v>-251.02</v>
      </c>
      <c r="H102">
        <v>0</v>
      </c>
      <c r="I102" s="12">
        <f t="shared" si="2"/>
        <v>-8.8597107262658796E-6</v>
      </c>
      <c r="K102" s="1"/>
    </row>
    <row r="103" spans="1:13" x14ac:dyDescent="0.25">
      <c r="A103" t="s">
        <v>165</v>
      </c>
      <c r="B103" t="s">
        <v>210</v>
      </c>
      <c r="C103" t="s">
        <v>211</v>
      </c>
      <c r="D103" t="s">
        <v>21</v>
      </c>
      <c r="E103">
        <v>-164.9</v>
      </c>
      <c r="F103">
        <v>-164.9</v>
      </c>
      <c r="G103">
        <v>-164.9</v>
      </c>
      <c r="H103" s="17">
        <v>0</v>
      </c>
      <c r="I103" s="12">
        <f t="shared" si="2"/>
        <v>-5.8201191090799279E-6</v>
      </c>
      <c r="K103" s="1"/>
    </row>
    <row r="104" spans="1:13" x14ac:dyDescent="0.25">
      <c r="A104" t="s">
        <v>165</v>
      </c>
      <c r="B104" t="s">
        <v>212</v>
      </c>
      <c r="C104" t="s">
        <v>213</v>
      </c>
      <c r="D104" t="s">
        <v>21</v>
      </c>
      <c r="E104">
        <v>-503.09</v>
      </c>
      <c r="F104">
        <v>-503.09</v>
      </c>
      <c r="G104">
        <v>-503.09</v>
      </c>
      <c r="H104" s="17">
        <v>0</v>
      </c>
      <c r="I104" s="12">
        <f t="shared" ref="I104:I121" si="3">(G104+H104)/$F$2</f>
        <v>-1.7756481034487692E-5</v>
      </c>
      <c r="K104" s="1"/>
      <c r="L104" s="12"/>
    </row>
    <row r="105" spans="1:13" x14ac:dyDescent="0.25">
      <c r="A105" t="s">
        <v>165</v>
      </c>
      <c r="B105" t="s">
        <v>214</v>
      </c>
      <c r="C105" t="s">
        <v>215</v>
      </c>
      <c r="D105" t="s">
        <v>21</v>
      </c>
      <c r="E105">
        <v>-105751.72</v>
      </c>
      <c r="F105">
        <v>-105751.72</v>
      </c>
      <c r="G105">
        <v>-105751.72</v>
      </c>
      <c r="H105">
        <v>0</v>
      </c>
      <c r="I105" s="12">
        <f t="shared" si="3"/>
        <v>-3.7324900326869011E-3</v>
      </c>
      <c r="K105" s="1"/>
    </row>
    <row r="106" spans="1:13" x14ac:dyDescent="0.25">
      <c r="A106" t="s">
        <v>165</v>
      </c>
      <c r="B106" t="s">
        <v>216</v>
      </c>
      <c r="C106" t="s">
        <v>217</v>
      </c>
      <c r="D106" t="s">
        <v>21</v>
      </c>
      <c r="E106">
        <v>-4934.75</v>
      </c>
      <c r="F106">
        <v>-4934.75</v>
      </c>
      <c r="G106">
        <v>-4934.75</v>
      </c>
      <c r="H106" s="12">
        <v>0</v>
      </c>
      <c r="I106" s="12">
        <f t="shared" si="3"/>
        <v>-1.7417121148291189E-4</v>
      </c>
      <c r="K106" s="1"/>
    </row>
    <row r="107" spans="1:13" x14ac:dyDescent="0.25">
      <c r="A107" s="14" t="s">
        <v>165</v>
      </c>
      <c r="B107" s="14" t="s">
        <v>218</v>
      </c>
      <c r="C107" s="14" t="s">
        <v>219</v>
      </c>
      <c r="D107" s="14" t="s">
        <v>21</v>
      </c>
      <c r="E107" s="14">
        <v>-13228.35</v>
      </c>
      <c r="F107" s="14">
        <v>-13228.35</v>
      </c>
      <c r="G107" s="14">
        <v>-13228.35</v>
      </c>
      <c r="H107" s="14">
        <v>0</v>
      </c>
      <c r="I107" s="12">
        <f t="shared" si="3"/>
        <v>-4.6689249615886877E-4</v>
      </c>
      <c r="J107" s="14"/>
      <c r="K107" s="15"/>
      <c r="L107" s="16"/>
      <c r="M107" s="14"/>
    </row>
    <row r="108" spans="1:13" x14ac:dyDescent="0.25">
      <c r="A108" t="s">
        <v>165</v>
      </c>
      <c r="B108" t="s">
        <v>220</v>
      </c>
      <c r="C108" t="s">
        <v>221</v>
      </c>
      <c r="D108" t="s">
        <v>21</v>
      </c>
      <c r="E108">
        <v>-199.95</v>
      </c>
      <c r="F108">
        <v>-199.95</v>
      </c>
      <c r="G108">
        <v>-199.95</v>
      </c>
      <c r="H108">
        <v>0</v>
      </c>
      <c r="I108" s="12">
        <f t="shared" si="3"/>
        <v>-7.0572032496090448E-6</v>
      </c>
      <c r="K108" s="1"/>
    </row>
    <row r="109" spans="1:13" x14ac:dyDescent="0.25">
      <c r="A109" t="s">
        <v>165</v>
      </c>
      <c r="B109" t="s">
        <v>222</v>
      </c>
      <c r="C109" t="s">
        <v>223</v>
      </c>
      <c r="D109" t="s">
        <v>21</v>
      </c>
      <c r="E109">
        <v>-214.54</v>
      </c>
      <c r="F109">
        <v>-214.54</v>
      </c>
      <c r="G109">
        <v>-214.54</v>
      </c>
      <c r="H109" s="17">
        <v>0</v>
      </c>
      <c r="I109" s="12">
        <f t="shared" si="3"/>
        <v>-7.5721549645967718E-6</v>
      </c>
      <c r="K109" s="1"/>
    </row>
    <row r="110" spans="1:13" x14ac:dyDescent="0.25">
      <c r="A110" t="s">
        <v>224</v>
      </c>
      <c r="B110" t="s">
        <v>225</v>
      </c>
      <c r="C110" t="s">
        <v>226</v>
      </c>
      <c r="D110" t="s">
        <v>21</v>
      </c>
      <c r="E110">
        <v>-22280</v>
      </c>
      <c r="F110">
        <v>-22280</v>
      </c>
      <c r="G110">
        <v>-22280</v>
      </c>
      <c r="H110" s="17">
        <v>0</v>
      </c>
      <c r="I110" s="12">
        <f t="shared" si="3"/>
        <v>-7.8636903426501387E-4</v>
      </c>
      <c r="K110" s="1"/>
    </row>
    <row r="111" spans="1:13" x14ac:dyDescent="0.25">
      <c r="A111" t="s">
        <v>224</v>
      </c>
      <c r="B111" t="s">
        <v>227</v>
      </c>
      <c r="C111" t="s">
        <v>226</v>
      </c>
      <c r="D111" t="s">
        <v>137</v>
      </c>
      <c r="E111">
        <v>35000</v>
      </c>
      <c r="F111">
        <v>35000</v>
      </c>
      <c r="G111">
        <v>187.84</v>
      </c>
      <c r="H111">
        <v>0</v>
      </c>
      <c r="I111" s="12">
        <f t="shared" si="3"/>
        <v>6.6297827377172446E-6</v>
      </c>
      <c r="K111" s="1"/>
      <c r="L111" s="12"/>
    </row>
    <row r="112" spans="1:13" x14ac:dyDescent="0.25">
      <c r="A112" s="14" t="s">
        <v>224</v>
      </c>
      <c r="B112" s="14" t="s">
        <v>228</v>
      </c>
      <c r="C112" s="14" t="s">
        <v>226</v>
      </c>
      <c r="D112" s="14" t="s">
        <v>49</v>
      </c>
      <c r="E112" s="14">
        <v>5363.72</v>
      </c>
      <c r="F112" s="14">
        <v>5363.72</v>
      </c>
      <c r="G112" s="14">
        <v>4713.7</v>
      </c>
      <c r="H112" s="14">
        <v>0</v>
      </c>
      <c r="I112" s="12">
        <f t="shared" si="3"/>
        <v>1.6636928711018833E-4</v>
      </c>
      <c r="J112" s="14"/>
      <c r="K112" s="15"/>
      <c r="L112" s="16"/>
      <c r="M112" s="14"/>
    </row>
    <row r="113" spans="1:11" x14ac:dyDescent="0.25">
      <c r="A113" t="s">
        <v>224</v>
      </c>
      <c r="B113" t="s">
        <v>229</v>
      </c>
      <c r="C113" t="s">
        <v>230</v>
      </c>
      <c r="D113" t="s">
        <v>21</v>
      </c>
      <c r="E113">
        <v>132161.42000000001</v>
      </c>
      <c r="F113">
        <v>132161.42000000001</v>
      </c>
      <c r="G113">
        <v>132161.42000000001</v>
      </c>
      <c r="H113" s="17">
        <v>0</v>
      </c>
      <c r="I113" s="12">
        <f t="shared" si="3"/>
        <v>4.6646161675266114E-3</v>
      </c>
      <c r="K113" s="1"/>
    </row>
    <row r="114" spans="1:11" x14ac:dyDescent="0.25">
      <c r="A114" t="s">
        <v>224</v>
      </c>
      <c r="B114" t="s">
        <v>231</v>
      </c>
      <c r="C114" t="s">
        <v>230</v>
      </c>
      <c r="D114" t="s">
        <v>137</v>
      </c>
      <c r="E114">
        <v>3850000</v>
      </c>
      <c r="F114">
        <v>3850000</v>
      </c>
      <c r="G114">
        <v>20662.77</v>
      </c>
      <c r="H114">
        <v>0</v>
      </c>
      <c r="I114" s="12">
        <f t="shared" si="3"/>
        <v>7.2928916023968138E-4</v>
      </c>
      <c r="K114" s="1"/>
    </row>
    <row r="115" spans="1:11" x14ac:dyDescent="0.25">
      <c r="A115" t="s">
        <v>224</v>
      </c>
      <c r="B115" t="s">
        <v>232</v>
      </c>
      <c r="C115" t="s">
        <v>230</v>
      </c>
      <c r="D115" t="s">
        <v>49</v>
      </c>
      <c r="E115">
        <v>52355.25</v>
      </c>
      <c r="F115">
        <v>52355.25</v>
      </c>
      <c r="G115">
        <v>46010.41</v>
      </c>
      <c r="H115">
        <v>0</v>
      </c>
      <c r="I115" s="12">
        <f t="shared" si="3"/>
        <v>1.6239300573535611E-3</v>
      </c>
      <c r="K115" s="1"/>
    </row>
    <row r="116" spans="1:11" x14ac:dyDescent="0.25">
      <c r="A116" t="s">
        <v>224</v>
      </c>
      <c r="B116" t="s">
        <v>233</v>
      </c>
      <c r="C116" t="s">
        <v>234</v>
      </c>
      <c r="D116" t="s">
        <v>21</v>
      </c>
      <c r="E116">
        <v>-19688</v>
      </c>
      <c r="F116">
        <v>-19688</v>
      </c>
      <c r="G116">
        <v>-19688</v>
      </c>
      <c r="H116" s="17">
        <v>0</v>
      </c>
      <c r="I116" s="12">
        <f t="shared" si="3"/>
        <v>-6.9488480909378784E-4</v>
      </c>
      <c r="K116" s="1"/>
    </row>
    <row r="117" spans="1:11" x14ac:dyDescent="0.25">
      <c r="A117" t="s">
        <v>224</v>
      </c>
      <c r="B117" t="s">
        <v>235</v>
      </c>
      <c r="C117" t="s">
        <v>234</v>
      </c>
      <c r="D117" t="s">
        <v>137</v>
      </c>
      <c r="E117">
        <v>1575000</v>
      </c>
      <c r="F117">
        <v>1575000</v>
      </c>
      <c r="G117">
        <v>8452.9500000000007</v>
      </c>
      <c r="H117">
        <v>0</v>
      </c>
      <c r="I117" s="12">
        <f t="shared" si="3"/>
        <v>2.9834551742326975E-4</v>
      </c>
      <c r="K117" s="1"/>
    </row>
    <row r="118" spans="1:11" x14ac:dyDescent="0.25">
      <c r="A118" t="s">
        <v>224</v>
      </c>
      <c r="B118" t="s">
        <v>236</v>
      </c>
      <c r="C118" t="s">
        <v>234</v>
      </c>
      <c r="D118" t="s">
        <v>49</v>
      </c>
      <c r="E118">
        <v>-20755</v>
      </c>
      <c r="F118">
        <v>-20755</v>
      </c>
      <c r="G118">
        <v>-18239.740000000002</v>
      </c>
      <c r="H118">
        <v>0</v>
      </c>
      <c r="I118" s="12">
        <f t="shared" si="3"/>
        <v>-6.437687041761645E-4</v>
      </c>
      <c r="K118" s="1"/>
    </row>
    <row r="119" spans="1:11" x14ac:dyDescent="0.25">
      <c r="A119" t="s">
        <v>237</v>
      </c>
      <c r="B119" t="s">
        <v>238</v>
      </c>
      <c r="C119" t="s">
        <v>239</v>
      </c>
      <c r="D119" t="s">
        <v>21</v>
      </c>
      <c r="E119">
        <v>-105327.2</v>
      </c>
      <c r="F119">
        <v>-105327.2</v>
      </c>
      <c r="G119">
        <v>-105327.2</v>
      </c>
      <c r="H119" s="17">
        <v>0</v>
      </c>
      <c r="I119" s="12">
        <f t="shared" si="3"/>
        <v>-3.7175066672279159E-3</v>
      </c>
      <c r="K119" s="1"/>
    </row>
    <row r="120" spans="1:11" x14ac:dyDescent="0.25">
      <c r="A120" t="s">
        <v>237</v>
      </c>
      <c r="B120" t="s">
        <v>240</v>
      </c>
      <c r="C120" t="s">
        <v>239</v>
      </c>
      <c r="D120" t="s">
        <v>36</v>
      </c>
      <c r="E120">
        <v>-86077.59</v>
      </c>
      <c r="F120">
        <v>-86077.59</v>
      </c>
      <c r="G120">
        <v>-100817.04</v>
      </c>
      <c r="H120">
        <v>0</v>
      </c>
      <c r="I120" s="12">
        <f t="shared" si="3"/>
        <v>-3.5583212918427858E-3</v>
      </c>
      <c r="K120" s="1"/>
    </row>
    <row r="121" spans="1:11" x14ac:dyDescent="0.25">
      <c r="A121" t="s">
        <v>237</v>
      </c>
      <c r="B121" t="s">
        <v>241</v>
      </c>
      <c r="C121" t="s">
        <v>242</v>
      </c>
      <c r="D121" t="s">
        <v>21</v>
      </c>
      <c r="E121">
        <v>199675.84</v>
      </c>
      <c r="F121">
        <v>199675.84</v>
      </c>
      <c r="G121">
        <v>199675.84</v>
      </c>
      <c r="H121" s="17">
        <v>0</v>
      </c>
      <c r="I121" s="12">
        <f t="shared" si="3"/>
        <v>7.0475268162861499E-3</v>
      </c>
      <c r="K121" s="1"/>
    </row>
  </sheetData>
  <mergeCells count="3">
    <mergeCell ref="F2:G2"/>
    <mergeCell ref="F3:G3"/>
    <mergeCell ref="F4:G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C2A09-791C-4B8A-9A6A-1E7202AD4377}">
  <sheetPr codeName="Feuil3"/>
  <dimension ref="A1:D344"/>
  <sheetViews>
    <sheetView workbookViewId="0">
      <selection sqref="A1:D344"/>
    </sheetView>
  </sheetViews>
  <sheetFormatPr baseColWidth="10" defaultRowHeight="15" x14ac:dyDescent="0.25"/>
  <sheetData>
    <row r="1" spans="1:4" x14ac:dyDescent="0.25">
      <c r="A1" s="7" t="s">
        <v>243</v>
      </c>
      <c r="B1" s="7" t="s">
        <v>244</v>
      </c>
      <c r="C1" s="7" t="s">
        <v>245</v>
      </c>
      <c r="D1" s="7" t="s">
        <v>4</v>
      </c>
    </row>
    <row r="2" spans="1:4" x14ac:dyDescent="0.25">
      <c r="A2" s="18">
        <v>45716</v>
      </c>
      <c r="B2" s="1">
        <v>301000</v>
      </c>
      <c r="C2" s="1">
        <v>3010</v>
      </c>
      <c r="D2" s="17">
        <v>100</v>
      </c>
    </row>
    <row r="3" spans="1:4" x14ac:dyDescent="0.25">
      <c r="A3" s="18">
        <v>45719</v>
      </c>
      <c r="B3" s="1">
        <v>300357.37</v>
      </c>
      <c r="C3" s="1">
        <v>3010</v>
      </c>
      <c r="D3" s="17">
        <v>99.79</v>
      </c>
    </row>
    <row r="4" spans="1:4" x14ac:dyDescent="0.25">
      <c r="A4" s="18">
        <v>45720</v>
      </c>
      <c r="B4" s="1">
        <v>299740.77</v>
      </c>
      <c r="C4" s="1">
        <v>3010</v>
      </c>
      <c r="D4" s="17">
        <v>99.58</v>
      </c>
    </row>
    <row r="5" spans="1:4" x14ac:dyDescent="0.25">
      <c r="A5" s="18">
        <v>45721</v>
      </c>
      <c r="B5" s="1">
        <v>398711.12</v>
      </c>
      <c r="C5" s="1">
        <v>4010</v>
      </c>
      <c r="D5" s="17">
        <v>99.43</v>
      </c>
    </row>
    <row r="6" spans="1:4" x14ac:dyDescent="0.25">
      <c r="A6" s="18">
        <v>45722</v>
      </c>
      <c r="B6" s="1">
        <v>398110.36</v>
      </c>
      <c r="C6" s="1">
        <v>4010</v>
      </c>
      <c r="D6" s="17">
        <v>99.28</v>
      </c>
    </row>
    <row r="7" spans="1:4" x14ac:dyDescent="0.25">
      <c r="A7" s="18">
        <v>45723</v>
      </c>
      <c r="B7" s="1">
        <v>397570.08</v>
      </c>
      <c r="C7" s="1">
        <v>4010</v>
      </c>
      <c r="D7" s="17">
        <v>99.14</v>
      </c>
    </row>
    <row r="8" spans="1:4" x14ac:dyDescent="0.25">
      <c r="A8" s="18">
        <v>45726</v>
      </c>
      <c r="B8" s="1">
        <v>395734.15</v>
      </c>
      <c r="C8" s="1">
        <v>4010</v>
      </c>
      <c r="D8" s="17">
        <v>98.69</v>
      </c>
    </row>
    <row r="9" spans="1:4" x14ac:dyDescent="0.25">
      <c r="A9" s="18">
        <v>45727</v>
      </c>
      <c r="B9" s="1">
        <v>395140.34</v>
      </c>
      <c r="C9" s="1">
        <v>4010</v>
      </c>
      <c r="D9" s="17">
        <v>98.54</v>
      </c>
    </row>
    <row r="10" spans="1:4" x14ac:dyDescent="0.25">
      <c r="A10" s="18">
        <v>45728</v>
      </c>
      <c r="B10" s="1">
        <v>1894332.24</v>
      </c>
      <c r="C10" s="1">
        <v>19232.243999999999</v>
      </c>
      <c r="D10" s="17">
        <v>98.5</v>
      </c>
    </row>
    <row r="11" spans="1:4" x14ac:dyDescent="0.25">
      <c r="A11" s="18">
        <v>45729</v>
      </c>
      <c r="B11" s="1">
        <v>1893666.71</v>
      </c>
      <c r="C11" s="1">
        <v>19232.243999999999</v>
      </c>
      <c r="D11" s="17">
        <v>98.46</v>
      </c>
    </row>
    <row r="12" spans="1:4" x14ac:dyDescent="0.25">
      <c r="A12" s="18">
        <v>45730</v>
      </c>
      <c r="B12" s="1">
        <v>1893323.4</v>
      </c>
      <c r="C12" s="1">
        <v>19232.243999999999</v>
      </c>
      <c r="D12" s="17">
        <v>98.45</v>
      </c>
    </row>
    <row r="13" spans="1:4" x14ac:dyDescent="0.25">
      <c r="A13" s="18">
        <v>45733</v>
      </c>
      <c r="B13" s="1">
        <v>1891377.12</v>
      </c>
      <c r="C13" s="1">
        <v>19232.243999999999</v>
      </c>
      <c r="D13" s="17">
        <v>98.34</v>
      </c>
    </row>
    <row r="14" spans="1:4" x14ac:dyDescent="0.25">
      <c r="A14" s="18">
        <v>45734</v>
      </c>
      <c r="B14" s="1">
        <v>1889811.83</v>
      </c>
      <c r="C14" s="1">
        <v>19232.243999999999</v>
      </c>
      <c r="D14" s="17">
        <v>98.26</v>
      </c>
    </row>
    <row r="15" spans="1:4" x14ac:dyDescent="0.25">
      <c r="A15" s="18">
        <v>45735</v>
      </c>
      <c r="B15" s="1">
        <v>1890133.42</v>
      </c>
      <c r="C15" s="1">
        <v>19232.243999999999</v>
      </c>
      <c r="D15" s="17">
        <v>98.28</v>
      </c>
    </row>
    <row r="16" spans="1:4" x14ac:dyDescent="0.25">
      <c r="A16" s="18">
        <v>45736</v>
      </c>
      <c r="B16" s="1">
        <v>1889170.72</v>
      </c>
      <c r="C16" s="1">
        <v>19232.243999999999</v>
      </c>
      <c r="D16" s="17">
        <v>98.23</v>
      </c>
    </row>
    <row r="17" spans="1:4" x14ac:dyDescent="0.25">
      <c r="A17" s="18">
        <v>45737</v>
      </c>
      <c r="B17" s="1">
        <v>1877455.78</v>
      </c>
      <c r="C17" s="1">
        <v>19232.243999999999</v>
      </c>
      <c r="D17" s="17">
        <v>97.62</v>
      </c>
    </row>
    <row r="18" spans="1:4" x14ac:dyDescent="0.25">
      <c r="A18" s="18">
        <v>45740</v>
      </c>
      <c r="B18" s="1">
        <v>1877356.12</v>
      </c>
      <c r="C18" s="1">
        <v>19232.243999999999</v>
      </c>
      <c r="D18" s="17">
        <v>97.62</v>
      </c>
    </row>
    <row r="19" spans="1:4" x14ac:dyDescent="0.25">
      <c r="A19" s="18">
        <v>45741</v>
      </c>
      <c r="B19" s="1">
        <v>1873580.98</v>
      </c>
      <c r="C19" s="1">
        <v>19232.243999999999</v>
      </c>
      <c r="D19" s="17">
        <v>97.42</v>
      </c>
    </row>
    <row r="20" spans="1:4" x14ac:dyDescent="0.25">
      <c r="A20" s="18">
        <v>45742</v>
      </c>
      <c r="B20" s="1">
        <v>1870674.48</v>
      </c>
      <c r="C20" s="1">
        <v>19232.243999999999</v>
      </c>
      <c r="D20" s="17">
        <v>97.27</v>
      </c>
    </row>
    <row r="21" spans="1:4" x14ac:dyDescent="0.25">
      <c r="A21" s="18">
        <v>45743</v>
      </c>
      <c r="B21" s="1">
        <v>1860984.77</v>
      </c>
      <c r="C21" s="1">
        <v>19232.243999999999</v>
      </c>
      <c r="D21" s="17">
        <v>96.76</v>
      </c>
    </row>
    <row r="22" spans="1:4" x14ac:dyDescent="0.25">
      <c r="A22" s="18">
        <v>45744</v>
      </c>
      <c r="B22" s="1">
        <v>1860092.24</v>
      </c>
      <c r="C22" s="1">
        <v>19232.243999999999</v>
      </c>
      <c r="D22" s="17">
        <v>96.72</v>
      </c>
    </row>
    <row r="23" spans="1:4" x14ac:dyDescent="0.25">
      <c r="A23" s="18">
        <v>45747</v>
      </c>
      <c r="B23" s="1">
        <v>1841142.25</v>
      </c>
      <c r="C23" s="1">
        <v>19232.243999999999</v>
      </c>
      <c r="D23" s="17">
        <v>95.73</v>
      </c>
    </row>
    <row r="24" spans="1:4" x14ac:dyDescent="0.25">
      <c r="A24" s="18">
        <v>45748</v>
      </c>
      <c r="B24" s="1">
        <v>1855845.28</v>
      </c>
      <c r="C24" s="1">
        <v>19232.243999999999</v>
      </c>
      <c r="D24" s="17">
        <v>96.5</v>
      </c>
    </row>
    <row r="25" spans="1:4" x14ac:dyDescent="0.25">
      <c r="A25" s="18">
        <v>45749</v>
      </c>
      <c r="B25" s="1">
        <v>1852241.77</v>
      </c>
      <c r="C25" s="1">
        <v>19232.243999999999</v>
      </c>
      <c r="D25" s="17">
        <v>96.31</v>
      </c>
    </row>
    <row r="26" spans="1:4" x14ac:dyDescent="0.25">
      <c r="A26" s="18">
        <v>45750</v>
      </c>
      <c r="B26" s="1">
        <v>2135743.37</v>
      </c>
      <c r="C26" s="1">
        <v>22312.243999999999</v>
      </c>
      <c r="D26" s="17">
        <v>95.72</v>
      </c>
    </row>
    <row r="27" spans="1:4" x14ac:dyDescent="0.25">
      <c r="A27" s="18">
        <v>45751</v>
      </c>
      <c r="B27" s="1">
        <v>2089612.59</v>
      </c>
      <c r="C27" s="1">
        <v>22312.243999999999</v>
      </c>
      <c r="D27" s="17">
        <v>93.65</v>
      </c>
    </row>
    <row r="28" spans="1:4" x14ac:dyDescent="0.25">
      <c r="A28" s="18">
        <v>45754</v>
      </c>
      <c r="B28" s="1">
        <v>2348786.61</v>
      </c>
      <c r="C28" s="1">
        <v>25515.66</v>
      </c>
      <c r="D28" s="17">
        <v>92.05</v>
      </c>
    </row>
    <row r="29" spans="1:4" x14ac:dyDescent="0.25">
      <c r="A29" s="18">
        <v>45755</v>
      </c>
      <c r="B29" s="1">
        <v>2369691.87</v>
      </c>
      <c r="C29" s="1">
        <v>25515.66</v>
      </c>
      <c r="D29" s="17">
        <v>92.87</v>
      </c>
    </row>
    <row r="30" spans="1:4" x14ac:dyDescent="0.25">
      <c r="A30" s="18">
        <v>45756</v>
      </c>
      <c r="B30" s="1">
        <v>2335236.48</v>
      </c>
      <c r="C30" s="1">
        <v>25515.66</v>
      </c>
      <c r="D30" s="17">
        <v>91.52</v>
      </c>
    </row>
    <row r="31" spans="1:4" x14ac:dyDescent="0.25">
      <c r="A31" s="18">
        <v>45757</v>
      </c>
      <c r="B31" s="1">
        <v>2376064.2400000002</v>
      </c>
      <c r="C31" s="1">
        <v>25515.66</v>
      </c>
      <c r="D31" s="17">
        <v>93.12</v>
      </c>
    </row>
    <row r="32" spans="1:4" x14ac:dyDescent="0.25">
      <c r="A32" s="18">
        <v>45758</v>
      </c>
      <c r="B32" s="1">
        <v>2391495.4700000002</v>
      </c>
      <c r="C32" s="1">
        <v>25778.66</v>
      </c>
      <c r="D32" s="17">
        <v>92.77</v>
      </c>
    </row>
    <row r="33" spans="1:4" x14ac:dyDescent="0.25">
      <c r="A33" s="18">
        <v>45761</v>
      </c>
      <c r="B33" s="1">
        <v>2521408.79</v>
      </c>
      <c r="C33" s="1">
        <v>26698.66</v>
      </c>
      <c r="D33" s="17">
        <v>94.44</v>
      </c>
    </row>
    <row r="34" spans="1:4" x14ac:dyDescent="0.25">
      <c r="A34" s="18">
        <v>45762</v>
      </c>
      <c r="B34" s="1">
        <v>2551602.2200000002</v>
      </c>
      <c r="C34" s="1">
        <v>26698.66</v>
      </c>
      <c r="D34" s="17">
        <v>95.57</v>
      </c>
    </row>
    <row r="35" spans="1:4" x14ac:dyDescent="0.25">
      <c r="A35" s="18">
        <v>45763</v>
      </c>
      <c r="B35" s="1">
        <v>2554783.62</v>
      </c>
      <c r="C35" s="1">
        <v>26698.66</v>
      </c>
      <c r="D35" s="17">
        <v>95.69</v>
      </c>
    </row>
    <row r="36" spans="1:4" x14ac:dyDescent="0.25">
      <c r="A36" s="18">
        <v>45764</v>
      </c>
      <c r="B36" s="1">
        <v>2538813.9900000002</v>
      </c>
      <c r="C36" s="1">
        <v>26698.66</v>
      </c>
      <c r="D36" s="17">
        <v>95.09</v>
      </c>
    </row>
    <row r="37" spans="1:4" x14ac:dyDescent="0.25">
      <c r="A37" s="18">
        <v>45769</v>
      </c>
      <c r="B37" s="1">
        <v>2543672.5099999998</v>
      </c>
      <c r="C37" s="1">
        <v>26698.66</v>
      </c>
      <c r="D37" s="17">
        <v>95.27</v>
      </c>
    </row>
    <row r="38" spans="1:4" x14ac:dyDescent="0.25">
      <c r="A38" s="18">
        <v>45770</v>
      </c>
      <c r="B38" s="1">
        <v>2552065.79</v>
      </c>
      <c r="C38" s="1">
        <v>26698.66</v>
      </c>
      <c r="D38" s="17">
        <v>95.59</v>
      </c>
    </row>
    <row r="39" spans="1:4" x14ac:dyDescent="0.25">
      <c r="A39" s="18">
        <v>45771</v>
      </c>
      <c r="B39" s="1">
        <v>2565849.79</v>
      </c>
      <c r="C39" s="1">
        <v>26698.66</v>
      </c>
      <c r="D39" s="17">
        <v>96.1</v>
      </c>
    </row>
    <row r="40" spans="1:4" x14ac:dyDescent="0.25">
      <c r="A40" s="18">
        <v>45772</v>
      </c>
      <c r="B40" s="1">
        <v>2586111.81</v>
      </c>
      <c r="C40" s="1">
        <v>26698.66</v>
      </c>
      <c r="D40" s="17">
        <v>96.86</v>
      </c>
    </row>
    <row r="41" spans="1:4" x14ac:dyDescent="0.25">
      <c r="A41" s="18">
        <v>45775</v>
      </c>
      <c r="B41" s="1">
        <v>2589712.87</v>
      </c>
      <c r="C41" s="1">
        <v>26698.66</v>
      </c>
      <c r="D41" s="17">
        <v>97</v>
      </c>
    </row>
    <row r="42" spans="1:4" x14ac:dyDescent="0.25">
      <c r="A42" s="18">
        <v>45776</v>
      </c>
      <c r="B42" s="1">
        <v>2606785.37</v>
      </c>
      <c r="C42" s="1">
        <v>26698.66</v>
      </c>
      <c r="D42" s="17">
        <v>97.64</v>
      </c>
    </row>
    <row r="43" spans="1:4" x14ac:dyDescent="0.25">
      <c r="A43" s="18">
        <v>45777</v>
      </c>
      <c r="B43" s="1">
        <v>2614533.54</v>
      </c>
      <c r="C43" s="1">
        <v>26698.66</v>
      </c>
      <c r="D43" s="17">
        <v>97.93</v>
      </c>
    </row>
    <row r="44" spans="1:4" x14ac:dyDescent="0.25">
      <c r="A44" s="18">
        <v>45779</v>
      </c>
      <c r="B44" s="1">
        <v>2650344.0699999998</v>
      </c>
      <c r="C44" s="1">
        <v>26698.66</v>
      </c>
      <c r="D44" s="17">
        <v>99.27</v>
      </c>
    </row>
    <row r="45" spans="1:4" x14ac:dyDescent="0.25">
      <c r="A45" s="18">
        <v>45782</v>
      </c>
      <c r="B45" s="1">
        <v>2652006.7400000002</v>
      </c>
      <c r="C45" s="1">
        <v>26698.66</v>
      </c>
      <c r="D45" s="17">
        <v>99.33</v>
      </c>
    </row>
    <row r="46" spans="1:4" x14ac:dyDescent="0.25">
      <c r="A46" s="18">
        <v>45783</v>
      </c>
      <c r="B46" s="1">
        <v>3688803.42</v>
      </c>
      <c r="C46" s="1">
        <v>36931.660000000003</v>
      </c>
      <c r="D46" s="17">
        <v>99.88</v>
      </c>
    </row>
    <row r="47" spans="1:4" x14ac:dyDescent="0.25">
      <c r="A47" s="18">
        <v>45784</v>
      </c>
      <c r="B47" s="1">
        <v>3687991.46</v>
      </c>
      <c r="C47" s="1">
        <v>36931.660000000003</v>
      </c>
      <c r="D47" s="17">
        <v>99.86</v>
      </c>
    </row>
    <row r="48" spans="1:4" x14ac:dyDescent="0.25">
      <c r="A48" s="18">
        <v>45785</v>
      </c>
      <c r="B48" s="1">
        <v>3699441.48</v>
      </c>
      <c r="C48" s="1">
        <v>36931.660000000003</v>
      </c>
      <c r="D48" s="17">
        <v>100.17</v>
      </c>
    </row>
    <row r="49" spans="1:4" x14ac:dyDescent="0.25">
      <c r="A49" s="18">
        <v>45789</v>
      </c>
      <c r="B49" s="1">
        <v>7699277.25</v>
      </c>
      <c r="C49" s="1">
        <v>76863.774999999994</v>
      </c>
      <c r="D49" s="17">
        <v>100.17</v>
      </c>
    </row>
    <row r="50" spans="1:4" x14ac:dyDescent="0.25">
      <c r="A50" s="18">
        <v>45790</v>
      </c>
      <c r="B50" s="1">
        <v>7715421.7800000003</v>
      </c>
      <c r="C50" s="1">
        <v>76863.774999999994</v>
      </c>
      <c r="D50" s="17">
        <v>100.38</v>
      </c>
    </row>
    <row r="51" spans="1:4" x14ac:dyDescent="0.25">
      <c r="A51" s="18">
        <v>45791</v>
      </c>
      <c r="B51" s="1">
        <v>7688745.8600000003</v>
      </c>
      <c r="C51" s="1">
        <v>76863.774999999994</v>
      </c>
      <c r="D51" s="17">
        <v>100.03</v>
      </c>
    </row>
    <row r="52" spans="1:4" x14ac:dyDescent="0.25">
      <c r="A52" s="18">
        <v>45792</v>
      </c>
      <c r="B52" s="1">
        <v>13521897.77</v>
      </c>
      <c r="C52" s="1">
        <v>134863.77499999999</v>
      </c>
      <c r="D52" s="17">
        <v>100.26</v>
      </c>
    </row>
    <row r="53" spans="1:4" x14ac:dyDescent="0.25">
      <c r="A53" s="18">
        <v>45793</v>
      </c>
      <c r="B53" s="1">
        <v>13531972.49</v>
      </c>
      <c r="C53" s="1">
        <v>134863.77499999999</v>
      </c>
      <c r="D53" s="17">
        <v>100.34</v>
      </c>
    </row>
    <row r="54" spans="1:4" x14ac:dyDescent="0.25">
      <c r="A54" s="18">
        <v>45796</v>
      </c>
      <c r="B54" s="1">
        <v>13565586.17</v>
      </c>
      <c r="C54" s="1">
        <v>134863.77499999999</v>
      </c>
      <c r="D54" s="17">
        <v>100.59</v>
      </c>
    </row>
    <row r="55" spans="1:4" x14ac:dyDescent="0.25">
      <c r="A55" s="18">
        <v>45797</v>
      </c>
      <c r="B55">
        <v>13596746.68</v>
      </c>
      <c r="C55">
        <v>134863.77499999999</v>
      </c>
      <c r="D55">
        <v>100.82</v>
      </c>
    </row>
    <row r="56" spans="1:4" x14ac:dyDescent="0.25">
      <c r="A56" s="18">
        <v>45798</v>
      </c>
      <c r="B56">
        <v>13573857.310000001</v>
      </c>
      <c r="C56">
        <v>134863.77499999999</v>
      </c>
      <c r="D56">
        <v>100.65</v>
      </c>
    </row>
    <row r="57" spans="1:4" x14ac:dyDescent="0.25">
      <c r="A57" s="18">
        <v>45799</v>
      </c>
      <c r="B57">
        <v>13527355.279999999</v>
      </c>
      <c r="C57">
        <v>134863.77499999999</v>
      </c>
      <c r="D57">
        <v>100.3</v>
      </c>
    </row>
    <row r="58" spans="1:4" x14ac:dyDescent="0.25">
      <c r="A58" s="18">
        <v>45800</v>
      </c>
      <c r="B58">
        <v>13605527.050000001</v>
      </c>
      <c r="C58">
        <v>135611.53099999999</v>
      </c>
      <c r="D58">
        <v>100.33</v>
      </c>
    </row>
    <row r="59" spans="1:4" x14ac:dyDescent="0.25">
      <c r="A59" s="18">
        <v>45803</v>
      </c>
      <c r="B59">
        <v>13639085.23</v>
      </c>
      <c r="C59">
        <v>135611.53099999999</v>
      </c>
      <c r="D59">
        <v>100.57</v>
      </c>
    </row>
    <row r="60" spans="1:4" x14ac:dyDescent="0.25">
      <c r="A60" s="18">
        <v>45804</v>
      </c>
      <c r="B60">
        <v>13647693.26</v>
      </c>
      <c r="C60">
        <v>135611.53099999999</v>
      </c>
      <c r="D60">
        <v>100.64</v>
      </c>
    </row>
    <row r="61" spans="1:4" x14ac:dyDescent="0.25">
      <c r="A61" s="18">
        <v>45805</v>
      </c>
      <c r="B61">
        <v>13640674.390000001</v>
      </c>
      <c r="C61">
        <v>135611.53099999999</v>
      </c>
      <c r="D61">
        <v>100.59</v>
      </c>
    </row>
    <row r="62" spans="1:4" x14ac:dyDescent="0.25">
      <c r="A62" s="18">
        <v>45807</v>
      </c>
      <c r="B62">
        <v>13641984.050000001</v>
      </c>
      <c r="C62">
        <v>135611.53099999999</v>
      </c>
      <c r="D62">
        <v>100.6</v>
      </c>
    </row>
    <row r="63" spans="1:4" x14ac:dyDescent="0.25">
      <c r="A63" s="18">
        <v>45810</v>
      </c>
      <c r="B63">
        <v>13655432.91</v>
      </c>
      <c r="C63">
        <v>135648.37100000001</v>
      </c>
      <c r="D63">
        <v>100.67</v>
      </c>
    </row>
    <row r="64" spans="1:4" x14ac:dyDescent="0.25">
      <c r="A64" s="18">
        <v>45811</v>
      </c>
      <c r="B64">
        <v>13650992.029999999</v>
      </c>
      <c r="C64">
        <v>135648.37100000001</v>
      </c>
      <c r="D64">
        <v>100.64</v>
      </c>
    </row>
    <row r="65" spans="1:4" x14ac:dyDescent="0.25">
      <c r="A65" s="18">
        <v>45812</v>
      </c>
      <c r="B65">
        <v>13679277.77</v>
      </c>
      <c r="C65">
        <v>135648.37100000001</v>
      </c>
      <c r="D65">
        <v>100.84</v>
      </c>
    </row>
    <row r="66" spans="1:4" x14ac:dyDescent="0.25">
      <c r="A66" s="18">
        <v>45813</v>
      </c>
      <c r="B66">
        <v>13678656.789999999</v>
      </c>
      <c r="C66">
        <v>135648.37100000001</v>
      </c>
      <c r="D66">
        <v>100.84</v>
      </c>
    </row>
    <row r="67" spans="1:4" x14ac:dyDescent="0.25">
      <c r="A67" s="18">
        <v>45818</v>
      </c>
      <c r="B67">
        <v>13754709.1</v>
      </c>
      <c r="C67">
        <v>135648.37100000001</v>
      </c>
      <c r="D67">
        <v>101.4</v>
      </c>
    </row>
    <row r="68" spans="1:4" x14ac:dyDescent="0.25">
      <c r="A68" s="18">
        <v>45819</v>
      </c>
      <c r="B68">
        <v>13800936.050000001</v>
      </c>
      <c r="C68">
        <v>135648.37100000001</v>
      </c>
      <c r="D68">
        <v>101.74</v>
      </c>
    </row>
    <row r="69" spans="1:4" x14ac:dyDescent="0.25">
      <c r="A69" s="18">
        <v>45820</v>
      </c>
      <c r="B69">
        <v>13805337.82</v>
      </c>
      <c r="C69">
        <v>135648.37100000001</v>
      </c>
      <c r="D69">
        <v>101.77</v>
      </c>
    </row>
    <row r="70" spans="1:4" x14ac:dyDescent="0.25">
      <c r="A70" s="18">
        <v>45821</v>
      </c>
      <c r="B70">
        <v>13732618.630000001</v>
      </c>
      <c r="C70">
        <v>135648.37100000001</v>
      </c>
      <c r="D70">
        <v>101.24</v>
      </c>
    </row>
    <row r="71" spans="1:4" x14ac:dyDescent="0.25">
      <c r="A71" s="18">
        <v>45824</v>
      </c>
      <c r="B71">
        <v>13783683.109999999</v>
      </c>
      <c r="C71">
        <v>135648.37100000001</v>
      </c>
      <c r="D71">
        <v>101.61</v>
      </c>
    </row>
    <row r="72" spans="1:4" x14ac:dyDescent="0.25">
      <c r="A72" s="18">
        <v>45825</v>
      </c>
      <c r="B72">
        <v>13729632.109999999</v>
      </c>
      <c r="C72">
        <v>135648.37100000001</v>
      </c>
      <c r="D72">
        <v>101.21</v>
      </c>
    </row>
    <row r="73" spans="1:4" x14ac:dyDescent="0.25">
      <c r="A73" s="18">
        <v>45826</v>
      </c>
      <c r="B73">
        <v>13698359.279999999</v>
      </c>
      <c r="C73">
        <v>135648.37100000001</v>
      </c>
      <c r="D73">
        <v>100.98</v>
      </c>
    </row>
    <row r="74" spans="1:4" x14ac:dyDescent="0.25">
      <c r="A74" s="18">
        <v>45827</v>
      </c>
      <c r="B74">
        <v>13604704.710000001</v>
      </c>
      <c r="C74">
        <v>135648.37100000001</v>
      </c>
      <c r="D74">
        <v>100.29</v>
      </c>
    </row>
    <row r="75" spans="1:4" x14ac:dyDescent="0.25">
      <c r="A75" s="18">
        <v>45828</v>
      </c>
      <c r="B75">
        <v>13572570.789999999</v>
      </c>
      <c r="C75">
        <v>135648.37100000001</v>
      </c>
      <c r="D75">
        <v>100.06</v>
      </c>
    </row>
    <row r="76" spans="1:4" x14ac:dyDescent="0.25">
      <c r="A76" s="18">
        <v>45832</v>
      </c>
      <c r="B76">
        <v>13728705.869999999</v>
      </c>
      <c r="C76">
        <v>135648.37100000001</v>
      </c>
      <c r="D76">
        <v>101.21</v>
      </c>
    </row>
    <row r="77" spans="1:4" x14ac:dyDescent="0.25">
      <c r="A77" s="18">
        <v>45833</v>
      </c>
      <c r="B77">
        <v>13718248.970000001</v>
      </c>
      <c r="C77">
        <v>135648.37100000001</v>
      </c>
      <c r="D77">
        <v>101.13</v>
      </c>
    </row>
    <row r="78" spans="1:4" x14ac:dyDescent="0.25">
      <c r="A78" s="18">
        <v>45834</v>
      </c>
      <c r="B78">
        <v>13748221.550000001</v>
      </c>
      <c r="C78">
        <v>135648.37100000001</v>
      </c>
      <c r="D78">
        <v>101.35</v>
      </c>
    </row>
    <row r="79" spans="1:4" x14ac:dyDescent="0.25">
      <c r="A79" s="18">
        <v>45835</v>
      </c>
      <c r="B79">
        <v>13785414.630000001</v>
      </c>
      <c r="C79">
        <v>135648.37100000001</v>
      </c>
      <c r="D79">
        <v>101.63</v>
      </c>
    </row>
    <row r="80" spans="1:4" x14ac:dyDescent="0.25">
      <c r="A80" s="18">
        <v>45838</v>
      </c>
      <c r="B80">
        <v>13809819.939999999</v>
      </c>
      <c r="C80">
        <v>135648.37100000001</v>
      </c>
      <c r="D80">
        <v>101.81</v>
      </c>
    </row>
    <row r="81" spans="1:4" x14ac:dyDescent="0.25">
      <c r="A81" s="18">
        <v>45839</v>
      </c>
      <c r="B81">
        <v>13770968.58</v>
      </c>
      <c r="C81">
        <v>135648.37100000001</v>
      </c>
      <c r="D81">
        <v>101.52</v>
      </c>
    </row>
    <row r="82" spans="1:4" x14ac:dyDescent="0.25">
      <c r="A82" s="18">
        <v>45840</v>
      </c>
      <c r="B82">
        <v>13766467.689999999</v>
      </c>
      <c r="C82">
        <v>135648.37100000001</v>
      </c>
      <c r="D82">
        <v>101.49</v>
      </c>
    </row>
    <row r="83" spans="1:4" x14ac:dyDescent="0.25">
      <c r="A83" s="18">
        <v>45841</v>
      </c>
      <c r="B83">
        <v>13792325.58</v>
      </c>
      <c r="C83">
        <v>135648.37100000001</v>
      </c>
      <c r="D83">
        <v>101.68</v>
      </c>
    </row>
    <row r="84" spans="1:4" x14ac:dyDescent="0.25">
      <c r="A84" s="18">
        <v>45842</v>
      </c>
      <c r="B84">
        <v>13789638.08</v>
      </c>
      <c r="C84">
        <v>135648.37100000001</v>
      </c>
      <c r="D84">
        <v>101.66</v>
      </c>
    </row>
    <row r="85" spans="1:4" x14ac:dyDescent="0.25">
      <c r="A85" s="18">
        <v>45845</v>
      </c>
      <c r="B85">
        <v>13838668.98</v>
      </c>
      <c r="C85">
        <v>135648.37100000001</v>
      </c>
      <c r="D85">
        <v>102.02</v>
      </c>
    </row>
    <row r="86" spans="1:4" x14ac:dyDescent="0.25">
      <c r="A86" s="18">
        <v>45846</v>
      </c>
      <c r="B86">
        <v>13829417.35</v>
      </c>
      <c r="C86">
        <v>135648.37100000001</v>
      </c>
      <c r="D86">
        <v>101.95</v>
      </c>
    </row>
    <row r="87" spans="1:4" x14ac:dyDescent="0.25">
      <c r="A87" s="18">
        <v>45847</v>
      </c>
      <c r="B87">
        <v>13867172.439999999</v>
      </c>
      <c r="C87">
        <v>135648.37100000001</v>
      </c>
      <c r="D87">
        <v>102.23</v>
      </c>
    </row>
    <row r="88" spans="1:4" x14ac:dyDescent="0.25">
      <c r="A88" s="18">
        <v>45848</v>
      </c>
      <c r="B88">
        <v>13882881.41</v>
      </c>
      <c r="C88">
        <v>135648.37100000001</v>
      </c>
      <c r="D88">
        <v>102.34</v>
      </c>
    </row>
    <row r="89" spans="1:4" x14ac:dyDescent="0.25">
      <c r="A89" s="18">
        <v>45849</v>
      </c>
      <c r="B89">
        <v>14404994.470000001</v>
      </c>
      <c r="C89">
        <v>141244.37100000001</v>
      </c>
      <c r="D89">
        <v>101.99</v>
      </c>
    </row>
    <row r="90" spans="1:4" x14ac:dyDescent="0.25">
      <c r="A90" s="18">
        <v>45852</v>
      </c>
      <c r="B90">
        <v>14390036.65</v>
      </c>
      <c r="C90">
        <v>141244.37100000001</v>
      </c>
      <c r="D90">
        <v>101.88</v>
      </c>
    </row>
    <row r="91" spans="1:4" x14ac:dyDescent="0.25">
      <c r="A91" s="18">
        <v>45853</v>
      </c>
      <c r="B91">
        <v>14802245.92</v>
      </c>
      <c r="C91">
        <v>145439.37100000001</v>
      </c>
      <c r="D91">
        <v>101.78</v>
      </c>
    </row>
    <row r="92" spans="1:4" x14ac:dyDescent="0.25">
      <c r="A92" s="18">
        <v>45854</v>
      </c>
      <c r="B92">
        <v>14782396.17</v>
      </c>
      <c r="C92">
        <v>145439.37100000001</v>
      </c>
      <c r="D92">
        <v>101.64</v>
      </c>
    </row>
    <row r="93" spans="1:4" x14ac:dyDescent="0.25">
      <c r="A93" s="18">
        <v>45855</v>
      </c>
      <c r="B93">
        <v>14855347.130000001</v>
      </c>
      <c r="C93">
        <v>145439.37100000001</v>
      </c>
      <c r="D93">
        <v>102.14</v>
      </c>
    </row>
    <row r="94" spans="1:4" x14ac:dyDescent="0.25">
      <c r="A94" s="18">
        <v>45856</v>
      </c>
      <c r="B94">
        <v>14835862.75</v>
      </c>
      <c r="C94">
        <v>145439.37100000001</v>
      </c>
      <c r="D94">
        <v>102.01</v>
      </c>
    </row>
    <row r="95" spans="1:4" x14ac:dyDescent="0.25">
      <c r="A95" s="18">
        <v>45859</v>
      </c>
      <c r="B95">
        <v>14872700.92</v>
      </c>
      <c r="C95">
        <v>145439.37100000001</v>
      </c>
      <c r="D95">
        <v>102.26</v>
      </c>
    </row>
    <row r="96" spans="1:4" x14ac:dyDescent="0.25">
      <c r="A96" s="18">
        <v>45860</v>
      </c>
      <c r="B96">
        <v>14894889.039999999</v>
      </c>
      <c r="C96">
        <v>145439.37100000001</v>
      </c>
      <c r="D96">
        <v>102.41</v>
      </c>
    </row>
    <row r="97" spans="1:4" x14ac:dyDescent="0.25">
      <c r="A97" s="18">
        <v>45861</v>
      </c>
      <c r="B97">
        <v>14953640.74</v>
      </c>
      <c r="C97">
        <v>145439.37100000001</v>
      </c>
      <c r="D97">
        <v>102.82</v>
      </c>
    </row>
    <row r="98" spans="1:4" x14ac:dyDescent="0.25">
      <c r="A98" s="18">
        <v>45862</v>
      </c>
      <c r="B98">
        <v>14916872.140000001</v>
      </c>
      <c r="C98">
        <v>145439.37100000001</v>
      </c>
      <c r="D98">
        <v>102.56</v>
      </c>
    </row>
    <row r="99" spans="1:4" x14ac:dyDescent="0.25">
      <c r="A99" s="18">
        <v>45863</v>
      </c>
      <c r="B99">
        <v>14904097.199999999</v>
      </c>
      <c r="C99">
        <v>145439.37100000001</v>
      </c>
      <c r="D99">
        <v>102.48</v>
      </c>
    </row>
    <row r="100" spans="1:4" x14ac:dyDescent="0.25">
      <c r="A100" s="18">
        <v>45866</v>
      </c>
      <c r="B100">
        <v>14911584.949999999</v>
      </c>
      <c r="C100">
        <v>145439.37100000001</v>
      </c>
      <c r="D100">
        <v>102.53</v>
      </c>
    </row>
    <row r="101" spans="1:4" x14ac:dyDescent="0.25">
      <c r="A101" s="18">
        <v>45867</v>
      </c>
      <c r="B101">
        <v>14907261.529999999</v>
      </c>
      <c r="C101">
        <v>145439.37100000001</v>
      </c>
      <c r="D101">
        <v>102.5</v>
      </c>
    </row>
    <row r="102" spans="1:4" x14ac:dyDescent="0.25">
      <c r="A102" s="18">
        <v>45868</v>
      </c>
      <c r="B102">
        <v>14835088.85</v>
      </c>
      <c r="C102">
        <v>145439.37100000001</v>
      </c>
      <c r="D102">
        <v>102</v>
      </c>
    </row>
    <row r="103" spans="1:4" x14ac:dyDescent="0.25">
      <c r="A103" s="18">
        <v>45869</v>
      </c>
      <c r="B103">
        <v>14824427.890000001</v>
      </c>
      <c r="C103">
        <v>145439.37100000001</v>
      </c>
      <c r="D103">
        <v>101.93</v>
      </c>
    </row>
    <row r="104" spans="1:4" x14ac:dyDescent="0.25">
      <c r="A104" s="18">
        <v>45870</v>
      </c>
      <c r="B104">
        <v>14693369</v>
      </c>
      <c r="C104">
        <v>145439.37100000001</v>
      </c>
      <c r="D104">
        <v>101.03</v>
      </c>
    </row>
    <row r="105" spans="1:4" x14ac:dyDescent="0.25">
      <c r="A105" s="18">
        <v>45873</v>
      </c>
      <c r="B105">
        <v>14826897.609999999</v>
      </c>
      <c r="C105">
        <v>145439.37100000001</v>
      </c>
      <c r="D105">
        <v>101.95</v>
      </c>
    </row>
    <row r="106" spans="1:4" x14ac:dyDescent="0.25">
      <c r="A106" s="18">
        <v>45874</v>
      </c>
      <c r="B106">
        <v>14856778.789999999</v>
      </c>
      <c r="C106">
        <v>145439.37100000001</v>
      </c>
      <c r="D106">
        <v>102.15</v>
      </c>
    </row>
    <row r="107" spans="1:4" x14ac:dyDescent="0.25">
      <c r="A107" s="18">
        <v>45875</v>
      </c>
      <c r="B107">
        <v>14856778.789999999</v>
      </c>
      <c r="C107">
        <v>145439.37100000001</v>
      </c>
      <c r="D107">
        <v>102.15</v>
      </c>
    </row>
    <row r="108" spans="1:4" x14ac:dyDescent="0.25">
      <c r="A108" s="18">
        <v>45876</v>
      </c>
      <c r="B108">
        <v>14941748.279999999</v>
      </c>
      <c r="C108">
        <v>145189.37100000001</v>
      </c>
      <c r="D108">
        <v>102.91</v>
      </c>
    </row>
    <row r="109" spans="1:4" x14ac:dyDescent="0.25">
      <c r="A109" s="18">
        <v>45877</v>
      </c>
      <c r="B109">
        <v>14933681.57</v>
      </c>
      <c r="C109">
        <v>145189.37100000001</v>
      </c>
      <c r="D109">
        <v>102.86</v>
      </c>
    </row>
    <row r="110" spans="1:4" x14ac:dyDescent="0.25">
      <c r="A110" s="18">
        <v>45880</v>
      </c>
      <c r="B110">
        <v>14900177.949999999</v>
      </c>
      <c r="C110">
        <v>145189.37100000001</v>
      </c>
      <c r="D110">
        <v>102.63</v>
      </c>
    </row>
    <row r="111" spans="1:4" x14ac:dyDescent="0.25">
      <c r="A111" s="18">
        <v>45881</v>
      </c>
      <c r="B111">
        <v>14960209.99</v>
      </c>
      <c r="C111">
        <v>145189.37100000001</v>
      </c>
      <c r="D111">
        <v>103.04</v>
      </c>
    </row>
    <row r="112" spans="1:4" x14ac:dyDescent="0.25">
      <c r="A112" s="18">
        <v>45882</v>
      </c>
      <c r="B112">
        <v>15002456.48</v>
      </c>
      <c r="C112">
        <v>145189.37100000001</v>
      </c>
      <c r="D112">
        <v>103.33</v>
      </c>
    </row>
    <row r="113" spans="1:4" x14ac:dyDescent="0.25">
      <c r="A113" s="18">
        <v>45883</v>
      </c>
      <c r="B113">
        <v>14970936.99</v>
      </c>
      <c r="C113">
        <v>145189.37100000001</v>
      </c>
      <c r="D113">
        <v>103.11</v>
      </c>
    </row>
    <row r="114" spans="1:4" x14ac:dyDescent="0.25">
      <c r="A114" s="18">
        <v>45887</v>
      </c>
      <c r="B114">
        <v>15471213.77</v>
      </c>
      <c r="C114">
        <v>149661.981</v>
      </c>
      <c r="D114">
        <v>103.37</v>
      </c>
    </row>
    <row r="115" spans="1:4" x14ac:dyDescent="0.25">
      <c r="A115" s="18">
        <v>45888</v>
      </c>
      <c r="B115">
        <v>15477737.98</v>
      </c>
      <c r="C115">
        <v>149661.981</v>
      </c>
      <c r="D115">
        <v>103.42</v>
      </c>
    </row>
    <row r="116" spans="1:4" x14ac:dyDescent="0.25">
      <c r="A116" s="18">
        <v>45889</v>
      </c>
      <c r="B116">
        <v>15441640.109999999</v>
      </c>
      <c r="C116">
        <v>149661.981</v>
      </c>
      <c r="D116">
        <v>103.18</v>
      </c>
    </row>
    <row r="117" spans="1:4" x14ac:dyDescent="0.25">
      <c r="A117" s="18">
        <v>45890</v>
      </c>
      <c r="B117">
        <v>15447412.539999999</v>
      </c>
      <c r="C117">
        <v>149661.981</v>
      </c>
      <c r="D117">
        <v>103.22</v>
      </c>
    </row>
    <row r="118" spans="1:4" x14ac:dyDescent="0.25">
      <c r="A118" s="18">
        <v>45891</v>
      </c>
      <c r="B118">
        <v>15576478.460000001</v>
      </c>
      <c r="C118">
        <v>149661.981</v>
      </c>
      <c r="D118">
        <v>104.08</v>
      </c>
    </row>
    <row r="119" spans="1:4" x14ac:dyDescent="0.25">
      <c r="A119" s="18">
        <v>45894</v>
      </c>
      <c r="B119">
        <v>17189942.370000001</v>
      </c>
      <c r="C119">
        <v>165766.27499999999</v>
      </c>
      <c r="D119">
        <v>103.7</v>
      </c>
    </row>
    <row r="120" spans="1:4" x14ac:dyDescent="0.25">
      <c r="A120" s="18">
        <v>45895</v>
      </c>
      <c r="B120">
        <v>17127736.059999999</v>
      </c>
      <c r="C120">
        <v>165739.427</v>
      </c>
      <c r="D120">
        <v>103.34</v>
      </c>
    </row>
    <row r="121" spans="1:4" x14ac:dyDescent="0.25">
      <c r="A121" s="18">
        <v>45896</v>
      </c>
      <c r="B121">
        <v>17127736.059999999</v>
      </c>
      <c r="C121">
        <v>165739.427</v>
      </c>
      <c r="D121">
        <v>103.34</v>
      </c>
    </row>
    <row r="122" spans="1:4" x14ac:dyDescent="0.25">
      <c r="A122" s="18">
        <v>45897</v>
      </c>
      <c r="B122">
        <v>17262925.07</v>
      </c>
      <c r="C122">
        <v>167409.329</v>
      </c>
      <c r="D122">
        <v>103.12</v>
      </c>
    </row>
    <row r="123" spans="1:4" x14ac:dyDescent="0.25">
      <c r="A123" s="18">
        <v>45898</v>
      </c>
      <c r="B123">
        <v>17232194.440000001</v>
      </c>
      <c r="C123">
        <v>167409.329</v>
      </c>
      <c r="D123">
        <v>102.93</v>
      </c>
    </row>
    <row r="124" spans="1:4" x14ac:dyDescent="0.25">
      <c r="A124" s="18">
        <v>45901</v>
      </c>
      <c r="B124">
        <v>17251730.719999999</v>
      </c>
      <c r="C124">
        <v>167409.329</v>
      </c>
      <c r="D124">
        <v>103.05</v>
      </c>
    </row>
    <row r="125" spans="1:4" x14ac:dyDescent="0.25">
      <c r="A125" s="18">
        <v>45902</v>
      </c>
      <c r="B125">
        <v>17137887.109999999</v>
      </c>
      <c r="C125">
        <v>167402.08199999999</v>
      </c>
      <c r="D125">
        <v>102.38</v>
      </c>
    </row>
    <row r="126" spans="1:4" x14ac:dyDescent="0.25">
      <c r="A126" s="18">
        <v>45903</v>
      </c>
      <c r="B126">
        <v>17214504.539999999</v>
      </c>
      <c r="C126">
        <v>167402.08199999999</v>
      </c>
      <c r="D126">
        <v>102.83</v>
      </c>
    </row>
    <row r="127" spans="1:4" x14ac:dyDescent="0.25">
      <c r="A127" s="18">
        <v>45904</v>
      </c>
      <c r="B127">
        <v>17218211.829999998</v>
      </c>
      <c r="C127">
        <v>167402.08199999999</v>
      </c>
      <c r="D127">
        <v>102.86</v>
      </c>
    </row>
    <row r="128" spans="1:4" x14ac:dyDescent="0.25">
      <c r="A128" s="18">
        <v>45905</v>
      </c>
      <c r="B128">
        <v>17299526.949999999</v>
      </c>
      <c r="C128">
        <v>167402.08199999999</v>
      </c>
      <c r="D128">
        <v>103.34</v>
      </c>
    </row>
    <row r="129" spans="1:4" x14ac:dyDescent="0.25">
      <c r="A129" s="18">
        <v>45908</v>
      </c>
      <c r="B129">
        <v>17428302.690000001</v>
      </c>
      <c r="C129">
        <v>167402.08199999999</v>
      </c>
      <c r="D129">
        <v>104.11</v>
      </c>
    </row>
    <row r="130" spans="1:4" x14ac:dyDescent="0.25">
      <c r="A130" s="18">
        <v>45909</v>
      </c>
      <c r="B130">
        <v>17432152.920000002</v>
      </c>
      <c r="C130">
        <v>167402.08199999999</v>
      </c>
      <c r="D130">
        <v>104.13</v>
      </c>
    </row>
    <row r="131" spans="1:4" x14ac:dyDescent="0.25">
      <c r="A131" s="18">
        <v>45910</v>
      </c>
      <c r="B131">
        <v>17477515.57</v>
      </c>
      <c r="C131">
        <v>167791.08199999999</v>
      </c>
      <c r="D131">
        <v>104.16</v>
      </c>
    </row>
    <row r="132" spans="1:4" x14ac:dyDescent="0.25">
      <c r="A132" s="18">
        <v>45911</v>
      </c>
      <c r="B132">
        <v>17543456.460000001</v>
      </c>
      <c r="C132">
        <v>167791.08199999999</v>
      </c>
      <c r="D132">
        <v>104.56</v>
      </c>
    </row>
    <row r="133" spans="1:4" x14ac:dyDescent="0.25">
      <c r="A133" s="18">
        <v>45912</v>
      </c>
      <c r="B133">
        <v>17543345.219999999</v>
      </c>
      <c r="C133">
        <v>167791.08199999999</v>
      </c>
      <c r="D133">
        <v>104.55</v>
      </c>
    </row>
    <row r="134" spans="1:4" x14ac:dyDescent="0.25">
      <c r="A134" s="18">
        <v>45915</v>
      </c>
      <c r="B134">
        <v>17592202.920000002</v>
      </c>
      <c r="C134">
        <v>167791.08199999999</v>
      </c>
      <c r="D134">
        <v>104.85</v>
      </c>
    </row>
    <row r="135" spans="1:4" x14ac:dyDescent="0.25">
      <c r="A135" s="18">
        <v>45916</v>
      </c>
      <c r="B135">
        <v>17516317.789999999</v>
      </c>
      <c r="C135">
        <v>167791.08199999999</v>
      </c>
      <c r="D135">
        <v>104.39</v>
      </c>
    </row>
    <row r="136" spans="1:4" x14ac:dyDescent="0.25">
      <c r="A136" s="18">
        <v>45917</v>
      </c>
      <c r="B136">
        <v>17571997.59</v>
      </c>
      <c r="C136">
        <v>167791.08199999999</v>
      </c>
      <c r="D136">
        <v>104.73</v>
      </c>
    </row>
    <row r="137" spans="1:4" x14ac:dyDescent="0.25">
      <c r="A137" s="18">
        <v>45918</v>
      </c>
      <c r="B137">
        <v>21970628.460000001</v>
      </c>
      <c r="C137">
        <v>209750.08199999999</v>
      </c>
      <c r="D137">
        <v>104.75</v>
      </c>
    </row>
    <row r="138" spans="1:4" x14ac:dyDescent="0.25">
      <c r="A138" s="18">
        <v>45919</v>
      </c>
      <c r="B138">
        <v>22142262.940000001</v>
      </c>
      <c r="C138">
        <v>210897.08199999999</v>
      </c>
      <c r="D138">
        <v>104.99</v>
      </c>
    </row>
    <row r="139" spans="1:4" x14ac:dyDescent="0.25">
      <c r="A139" s="18">
        <v>45922</v>
      </c>
      <c r="B139">
        <v>22179342.350000001</v>
      </c>
      <c r="C139">
        <v>210897.08199999999</v>
      </c>
      <c r="D139">
        <v>105.17</v>
      </c>
    </row>
    <row r="140" spans="1:4" x14ac:dyDescent="0.25">
      <c r="A140" s="18">
        <v>45923</v>
      </c>
      <c r="B140">
        <v>22188120.829999998</v>
      </c>
      <c r="C140">
        <v>210897.08199999999</v>
      </c>
      <c r="D140">
        <v>105.21</v>
      </c>
    </row>
    <row r="141" spans="1:4" x14ac:dyDescent="0.25">
      <c r="A141" s="18">
        <v>45924</v>
      </c>
      <c r="B141">
        <v>22185714.789999999</v>
      </c>
      <c r="C141">
        <v>210897.08199999999</v>
      </c>
      <c r="D141">
        <v>105.2</v>
      </c>
    </row>
    <row r="142" spans="1:4" x14ac:dyDescent="0.25">
      <c r="A142" s="18">
        <v>45925</v>
      </c>
      <c r="B142">
        <v>22160322.239999998</v>
      </c>
      <c r="C142">
        <v>210897.08199999999</v>
      </c>
      <c r="D142">
        <v>105.08</v>
      </c>
    </row>
    <row r="143" spans="1:4" x14ac:dyDescent="0.25">
      <c r="A143" s="18">
        <v>45926</v>
      </c>
      <c r="B143">
        <v>22168542.25</v>
      </c>
      <c r="C143">
        <v>210897.08199999999</v>
      </c>
      <c r="D143">
        <v>105.12</v>
      </c>
    </row>
    <row r="144" spans="1:4" x14ac:dyDescent="0.25">
      <c r="A144" s="18">
        <v>45929</v>
      </c>
      <c r="B144">
        <v>23753773.170000002</v>
      </c>
      <c r="C144">
        <v>225166.48800000001</v>
      </c>
      <c r="D144">
        <v>105.49</v>
      </c>
    </row>
    <row r="145" spans="1:4" x14ac:dyDescent="0.25">
      <c r="A145" s="18">
        <v>45930</v>
      </c>
      <c r="B145">
        <v>23789740.84</v>
      </c>
      <c r="C145">
        <v>225166.48800000001</v>
      </c>
      <c r="D145">
        <v>105.65</v>
      </c>
    </row>
    <row r="146" spans="1:4" x14ac:dyDescent="0.25">
      <c r="A146" s="18">
        <v>45931</v>
      </c>
      <c r="B146">
        <v>23811637.719999999</v>
      </c>
      <c r="C146">
        <v>225166.48800000001</v>
      </c>
      <c r="D146">
        <v>105.75</v>
      </c>
    </row>
    <row r="147" spans="1:4" x14ac:dyDescent="0.25">
      <c r="A147" s="18">
        <v>45932</v>
      </c>
      <c r="B147">
        <v>23915447.579999998</v>
      </c>
      <c r="C147">
        <v>225159.24400000001</v>
      </c>
      <c r="D147">
        <v>106.22</v>
      </c>
    </row>
    <row r="148" spans="1:4" x14ac:dyDescent="0.25">
      <c r="A148" s="18">
        <v>45933</v>
      </c>
      <c r="B148">
        <v>23891392.300000001</v>
      </c>
      <c r="C148">
        <v>225159.24400000001</v>
      </c>
      <c r="D148">
        <v>106.11</v>
      </c>
    </row>
    <row r="149" spans="1:4" x14ac:dyDescent="0.25">
      <c r="A149" s="18">
        <v>45936</v>
      </c>
      <c r="B149">
        <v>23876742.289999999</v>
      </c>
      <c r="C149">
        <v>225159.24400000001</v>
      </c>
      <c r="D149">
        <v>106.04</v>
      </c>
    </row>
    <row r="150" spans="1:4" x14ac:dyDescent="0.25">
      <c r="A150" s="18">
        <v>45937</v>
      </c>
      <c r="B150">
        <v>23876890.030000001</v>
      </c>
      <c r="C150">
        <v>225159.24400000001</v>
      </c>
      <c r="D150">
        <v>106.04</v>
      </c>
    </row>
    <row r="151" spans="1:4" x14ac:dyDescent="0.25">
      <c r="A151" s="18">
        <v>45938</v>
      </c>
      <c r="B151">
        <v>23998049.640000001</v>
      </c>
      <c r="C151">
        <v>225159.24400000001</v>
      </c>
      <c r="D151">
        <v>106.58</v>
      </c>
    </row>
    <row r="152" spans="1:4" x14ac:dyDescent="0.25">
      <c r="A152" s="18">
        <v>45939</v>
      </c>
      <c r="B152">
        <v>23947070.609999999</v>
      </c>
      <c r="C152">
        <v>225159.24400000001</v>
      </c>
      <c r="D152">
        <v>106.36</v>
      </c>
    </row>
    <row r="153" spans="1:4" x14ac:dyDescent="0.25">
      <c r="A153" s="18">
        <v>45940</v>
      </c>
      <c r="B153">
        <v>23787827.91</v>
      </c>
      <c r="C153">
        <v>225159.24400000001</v>
      </c>
      <c r="D153">
        <v>105.65</v>
      </c>
    </row>
    <row r="154" spans="1:4" x14ac:dyDescent="0.25">
      <c r="A154" s="18">
        <v>45943</v>
      </c>
      <c r="B154">
        <v>23895578.5</v>
      </c>
      <c r="C154">
        <v>225159.24400000001</v>
      </c>
      <c r="D154">
        <v>106.13</v>
      </c>
    </row>
    <row r="155" spans="1:4" x14ac:dyDescent="0.25">
      <c r="A155" s="18">
        <v>45944</v>
      </c>
      <c r="B155">
        <v>23911874.640000001</v>
      </c>
      <c r="C155">
        <v>225410.50700000001</v>
      </c>
      <c r="D155">
        <v>106.08</v>
      </c>
    </row>
    <row r="156" spans="1:4" x14ac:dyDescent="0.25">
      <c r="A156" s="18">
        <v>45945</v>
      </c>
      <c r="B156">
        <v>23941172.579999998</v>
      </c>
      <c r="C156">
        <v>225410.50700000001</v>
      </c>
      <c r="D156">
        <v>106.21</v>
      </c>
    </row>
    <row r="157" spans="1:4" x14ac:dyDescent="0.25">
      <c r="A157" s="18">
        <v>45946</v>
      </c>
      <c r="B157">
        <v>24035568.73</v>
      </c>
      <c r="C157">
        <v>225974.50700000001</v>
      </c>
      <c r="D157">
        <v>106.36</v>
      </c>
    </row>
    <row r="158" spans="1:4" x14ac:dyDescent="0.25">
      <c r="A158" s="18">
        <v>45947</v>
      </c>
      <c r="B158">
        <v>25853855.190000001</v>
      </c>
      <c r="C158">
        <v>244819.50700000001</v>
      </c>
      <c r="D158">
        <v>105.6</v>
      </c>
    </row>
    <row r="159" spans="1:4" x14ac:dyDescent="0.25">
      <c r="A159" s="18">
        <v>45950</v>
      </c>
      <c r="B159">
        <v>25991264.120000001</v>
      </c>
      <c r="C159">
        <v>244819.50700000001</v>
      </c>
      <c r="D159">
        <v>106.17</v>
      </c>
    </row>
    <row r="160" spans="1:4" x14ac:dyDescent="0.25">
      <c r="A160" s="18">
        <v>45951</v>
      </c>
      <c r="B160">
        <v>25959060.670000002</v>
      </c>
      <c r="C160">
        <v>244805.50700000001</v>
      </c>
      <c r="D160">
        <v>106.04</v>
      </c>
    </row>
    <row r="161" spans="1:4" x14ac:dyDescent="0.25">
      <c r="A161" s="18">
        <v>45952</v>
      </c>
      <c r="B161">
        <v>25906704.66</v>
      </c>
      <c r="C161">
        <v>244805.50700000001</v>
      </c>
      <c r="D161">
        <v>105.83</v>
      </c>
    </row>
    <row r="162" spans="1:4" x14ac:dyDescent="0.25">
      <c r="A162" s="18">
        <v>45953</v>
      </c>
      <c r="B162">
        <v>25964882.210000001</v>
      </c>
      <c r="C162">
        <v>244805.50700000001</v>
      </c>
      <c r="D162">
        <v>106.06</v>
      </c>
    </row>
    <row r="163" spans="1:4" x14ac:dyDescent="0.25">
      <c r="A163" s="18">
        <v>45954</v>
      </c>
      <c r="B163">
        <v>26002482.370000001</v>
      </c>
      <c r="C163">
        <v>244805.50700000001</v>
      </c>
      <c r="D163">
        <v>106.22</v>
      </c>
    </row>
    <row r="164" spans="1:4" x14ac:dyDescent="0.25">
      <c r="A164" s="18">
        <v>45957</v>
      </c>
      <c r="B164">
        <v>25993744.309999999</v>
      </c>
      <c r="C164">
        <v>244805.50700000001</v>
      </c>
      <c r="D164">
        <v>106.18</v>
      </c>
    </row>
    <row r="165" spans="1:4" x14ac:dyDescent="0.25">
      <c r="A165" s="18">
        <v>45958</v>
      </c>
      <c r="B165">
        <v>25918708.190000001</v>
      </c>
      <c r="C165">
        <v>244805.50700000001</v>
      </c>
      <c r="D165">
        <v>105.87</v>
      </c>
    </row>
    <row r="166" spans="1:4" x14ac:dyDescent="0.25">
      <c r="A166" s="18">
        <v>45959</v>
      </c>
      <c r="B166">
        <v>25933039.109999999</v>
      </c>
      <c r="C166">
        <v>244805.50700000001</v>
      </c>
      <c r="D166">
        <v>105.93</v>
      </c>
    </row>
    <row r="167" spans="1:4" x14ac:dyDescent="0.25">
      <c r="A167" s="18">
        <v>45960</v>
      </c>
      <c r="B167">
        <v>25998491.98</v>
      </c>
      <c r="C167">
        <v>246125.50700000001</v>
      </c>
      <c r="D167">
        <v>105.63</v>
      </c>
    </row>
    <row r="168" spans="1:4" x14ac:dyDescent="0.25">
      <c r="A168" s="18">
        <v>45961</v>
      </c>
      <c r="B168">
        <v>25955431.379999999</v>
      </c>
      <c r="C168">
        <v>246125.50700000001</v>
      </c>
      <c r="D168">
        <v>105.46</v>
      </c>
    </row>
    <row r="169" spans="1:4" x14ac:dyDescent="0.25">
      <c r="A169" s="18">
        <v>45964</v>
      </c>
      <c r="B169">
        <v>25959009.32</v>
      </c>
      <c r="C169">
        <v>246125.50700000001</v>
      </c>
      <c r="D169">
        <v>105.47</v>
      </c>
    </row>
    <row r="170" spans="1:4" x14ac:dyDescent="0.25">
      <c r="A170" s="18">
        <v>45965</v>
      </c>
      <c r="B170">
        <v>25909726.27</v>
      </c>
      <c r="C170">
        <v>246118.26699999999</v>
      </c>
      <c r="D170">
        <v>105.27</v>
      </c>
    </row>
    <row r="171" spans="1:4" x14ac:dyDescent="0.25">
      <c r="A171" s="18">
        <v>45966</v>
      </c>
      <c r="B171">
        <v>25863770.98</v>
      </c>
      <c r="C171">
        <v>246590.26699999999</v>
      </c>
      <c r="D171">
        <v>104.89</v>
      </c>
    </row>
    <row r="172" spans="1:4" x14ac:dyDescent="0.25">
      <c r="A172" s="18">
        <v>45967</v>
      </c>
      <c r="B172">
        <v>25768384.350000001</v>
      </c>
      <c r="C172">
        <v>246590.26699999999</v>
      </c>
      <c r="D172">
        <v>104.5</v>
      </c>
    </row>
    <row r="173" spans="1:4" x14ac:dyDescent="0.25">
      <c r="A173" s="18">
        <v>45968</v>
      </c>
      <c r="B173">
        <v>25644483.510000002</v>
      </c>
      <c r="C173">
        <v>246590.26699999999</v>
      </c>
      <c r="D173">
        <v>104</v>
      </c>
    </row>
    <row r="174" spans="1:4" x14ac:dyDescent="0.25">
      <c r="A174" s="18">
        <v>45971</v>
      </c>
      <c r="B174">
        <v>25779612.550000001</v>
      </c>
      <c r="C174">
        <v>246590.26699999999</v>
      </c>
      <c r="D174">
        <v>104.54</v>
      </c>
    </row>
    <row r="175" spans="1:4" x14ac:dyDescent="0.25">
      <c r="A175" s="18">
        <v>45972</v>
      </c>
      <c r="B175">
        <v>26897772.489999998</v>
      </c>
      <c r="C175">
        <v>256123.26699999999</v>
      </c>
      <c r="D175">
        <v>105.02</v>
      </c>
    </row>
    <row r="176" spans="1:4" x14ac:dyDescent="0.25">
      <c r="A176" s="18">
        <v>45973</v>
      </c>
      <c r="B176">
        <v>26946187.489999998</v>
      </c>
      <c r="C176">
        <v>256123.26699999999</v>
      </c>
      <c r="D176">
        <v>105.21</v>
      </c>
    </row>
    <row r="177" spans="1:4" x14ac:dyDescent="0.25">
      <c r="A177" s="18">
        <v>45974</v>
      </c>
      <c r="B177">
        <v>26892984.600000001</v>
      </c>
      <c r="C177">
        <v>256123.26699999999</v>
      </c>
      <c r="D177">
        <v>105</v>
      </c>
    </row>
    <row r="178" spans="1:4" x14ac:dyDescent="0.25">
      <c r="A178" s="18">
        <v>45975</v>
      </c>
      <c r="B178">
        <v>26788287.32</v>
      </c>
      <c r="C178">
        <v>256123.26699999999</v>
      </c>
      <c r="D178">
        <v>104.59</v>
      </c>
    </row>
    <row r="179" spans="1:4" x14ac:dyDescent="0.25">
      <c r="A179" s="18">
        <v>45978</v>
      </c>
      <c r="B179">
        <v>26729981.02</v>
      </c>
      <c r="C179">
        <v>256123.26699999999</v>
      </c>
      <c r="D179">
        <v>104.36</v>
      </c>
    </row>
    <row r="180" spans="1:4" x14ac:dyDescent="0.25">
      <c r="A180" s="18">
        <v>45979</v>
      </c>
      <c r="B180">
        <v>26533401.09</v>
      </c>
      <c r="C180">
        <v>256123.26699999999</v>
      </c>
      <c r="D180">
        <v>103.6</v>
      </c>
    </row>
    <row r="181" spans="1:4" x14ac:dyDescent="0.25">
      <c r="A181" s="18">
        <v>45980</v>
      </c>
      <c r="B181">
        <v>26480912.780000001</v>
      </c>
      <c r="C181">
        <v>256123.26699999999</v>
      </c>
      <c r="D181">
        <v>103.39</v>
      </c>
    </row>
    <row r="182" spans="1:4" x14ac:dyDescent="0.25">
      <c r="A182" s="18">
        <v>45981</v>
      </c>
      <c r="B182">
        <v>26477793.859999999</v>
      </c>
      <c r="C182">
        <v>256123.26699999999</v>
      </c>
      <c r="D182">
        <v>103.38</v>
      </c>
    </row>
    <row r="183" spans="1:4" x14ac:dyDescent="0.25">
      <c r="A183" s="18">
        <v>45982</v>
      </c>
      <c r="B183">
        <v>26439371.120000001</v>
      </c>
      <c r="C183">
        <v>256123.26699999999</v>
      </c>
      <c r="D183">
        <v>103.23</v>
      </c>
    </row>
    <row r="184" spans="1:4" x14ac:dyDescent="0.25">
      <c r="A184" s="18">
        <v>45987</v>
      </c>
      <c r="B184">
        <v>26762324.489999998</v>
      </c>
      <c r="C184">
        <v>256123.26699999999</v>
      </c>
      <c r="D184">
        <v>104.49</v>
      </c>
    </row>
    <row r="185" spans="1:4" x14ac:dyDescent="0.25">
      <c r="A185" s="18">
        <v>45988</v>
      </c>
      <c r="B185">
        <v>26861001.149999999</v>
      </c>
      <c r="C185">
        <v>256123.26699999999</v>
      </c>
      <c r="D185">
        <v>104.88</v>
      </c>
    </row>
    <row r="186" spans="1:4" x14ac:dyDescent="0.25">
      <c r="A186" s="18">
        <v>45989</v>
      </c>
      <c r="B186">
        <v>26913698.539999999</v>
      </c>
      <c r="C186">
        <v>256123.26699999999</v>
      </c>
      <c r="D186">
        <v>105.08</v>
      </c>
    </row>
    <row r="187" spans="1:4" x14ac:dyDescent="0.25">
      <c r="A187" s="18">
        <v>45992</v>
      </c>
      <c r="B187">
        <v>26879249.329999998</v>
      </c>
      <c r="C187">
        <v>256123.26699999999</v>
      </c>
      <c r="D187">
        <v>104.95</v>
      </c>
    </row>
    <row r="188" spans="1:4" x14ac:dyDescent="0.25">
      <c r="A188" s="18">
        <v>45993</v>
      </c>
      <c r="B188">
        <v>26822655.690000001</v>
      </c>
      <c r="C188">
        <v>256116.03</v>
      </c>
      <c r="D188">
        <v>104.73</v>
      </c>
    </row>
    <row r="189" spans="1:4" x14ac:dyDescent="0.25">
      <c r="A189" s="18">
        <v>45994</v>
      </c>
      <c r="B189">
        <v>26837484.98</v>
      </c>
      <c r="C189">
        <v>256116.03</v>
      </c>
      <c r="D189">
        <v>104.79</v>
      </c>
    </row>
    <row r="190" spans="1:4" x14ac:dyDescent="0.25">
      <c r="A190" s="18">
        <v>45995</v>
      </c>
      <c r="B190">
        <v>26822279.59</v>
      </c>
      <c r="C190">
        <v>256116.03</v>
      </c>
      <c r="D190">
        <v>104.73</v>
      </c>
    </row>
    <row r="191" spans="1:4" x14ac:dyDescent="0.25">
      <c r="A191" s="18">
        <v>45996</v>
      </c>
      <c r="B191">
        <v>26909638.079999998</v>
      </c>
      <c r="C191">
        <v>256116.03</v>
      </c>
      <c r="D191">
        <v>105.07</v>
      </c>
    </row>
    <row r="192" spans="1:4" x14ac:dyDescent="0.25">
      <c r="A192" s="18">
        <v>45999</v>
      </c>
      <c r="B192">
        <v>26898909.780000001</v>
      </c>
      <c r="C192">
        <v>256116.03</v>
      </c>
      <c r="D192">
        <v>105.03</v>
      </c>
    </row>
    <row r="193" spans="1:4" x14ac:dyDescent="0.25">
      <c r="A193" s="18">
        <v>46000</v>
      </c>
      <c r="B193">
        <v>26829240.690000001</v>
      </c>
      <c r="C193">
        <v>256116.03</v>
      </c>
      <c r="D193">
        <v>104.75</v>
      </c>
    </row>
    <row r="194" spans="1:4" x14ac:dyDescent="0.25">
      <c r="A194" s="18">
        <v>46001</v>
      </c>
      <c r="B194">
        <v>26798641.129999999</v>
      </c>
      <c r="C194">
        <v>256116.03</v>
      </c>
      <c r="D194">
        <v>104.63</v>
      </c>
    </row>
    <row r="195" spans="1:4" x14ac:dyDescent="0.25">
      <c r="A195" s="18">
        <v>46002</v>
      </c>
      <c r="B195">
        <v>26859069.899999999</v>
      </c>
      <c r="C195">
        <v>256116.03</v>
      </c>
      <c r="D195">
        <v>104.87</v>
      </c>
    </row>
    <row r="196" spans="1:4" x14ac:dyDescent="0.25">
      <c r="A196" s="18">
        <v>46003</v>
      </c>
      <c r="B196">
        <v>26835790.73</v>
      </c>
      <c r="C196">
        <v>256116.03</v>
      </c>
      <c r="D196">
        <v>104.78</v>
      </c>
    </row>
    <row r="197" spans="1:4" x14ac:dyDescent="0.25">
      <c r="A197" s="18">
        <v>46006</v>
      </c>
      <c r="B197">
        <v>26898892.969999999</v>
      </c>
      <c r="C197">
        <v>256116.03</v>
      </c>
      <c r="D197">
        <v>105.03</v>
      </c>
    </row>
    <row r="198" spans="1:4" x14ac:dyDescent="0.25">
      <c r="A198" s="18">
        <v>46007</v>
      </c>
      <c r="B198">
        <v>26863441.489999998</v>
      </c>
      <c r="C198">
        <v>256116.03</v>
      </c>
      <c r="D198">
        <v>104.89</v>
      </c>
    </row>
    <row r="199" spans="1:4" x14ac:dyDescent="0.25">
      <c r="A199" s="18">
        <v>46008</v>
      </c>
      <c r="B199">
        <v>26799626.280000001</v>
      </c>
      <c r="C199">
        <v>256116.03</v>
      </c>
      <c r="D199">
        <v>104.64</v>
      </c>
    </row>
    <row r="200" spans="1:4" x14ac:dyDescent="0.25">
      <c r="A200" s="18">
        <v>46009</v>
      </c>
      <c r="B200">
        <v>26965753.5</v>
      </c>
      <c r="C200">
        <v>256116.03</v>
      </c>
      <c r="D200">
        <v>105.29</v>
      </c>
    </row>
    <row r="201" spans="1:4" x14ac:dyDescent="0.25">
      <c r="A201" s="18">
        <v>46010</v>
      </c>
      <c r="B201">
        <v>26967668.5</v>
      </c>
      <c r="C201">
        <v>256116.03</v>
      </c>
      <c r="D201">
        <v>105.29</v>
      </c>
    </row>
    <row r="202" spans="1:4" x14ac:dyDescent="0.25">
      <c r="A202" s="18">
        <v>46013</v>
      </c>
      <c r="B202">
        <v>26980684.300000001</v>
      </c>
      <c r="C202">
        <v>256103.182</v>
      </c>
      <c r="D202">
        <v>105.35</v>
      </c>
    </row>
    <row r="203" spans="1:4" x14ac:dyDescent="0.25">
      <c r="A203" s="18">
        <v>46014</v>
      </c>
      <c r="B203">
        <v>27007601.469999999</v>
      </c>
      <c r="C203">
        <v>256103.182</v>
      </c>
      <c r="D203">
        <v>105.46</v>
      </c>
    </row>
    <row r="204" spans="1:4" x14ac:dyDescent="0.25">
      <c r="A204" s="18">
        <v>46020</v>
      </c>
      <c r="B204">
        <v>27007243.670000002</v>
      </c>
      <c r="C204">
        <v>256103.182</v>
      </c>
      <c r="D204">
        <v>105.45</v>
      </c>
    </row>
    <row r="205" spans="1:4" x14ac:dyDescent="0.25">
      <c r="A205" s="18">
        <v>46021</v>
      </c>
      <c r="B205">
        <v>27105390.170000002</v>
      </c>
      <c r="C205">
        <v>256103.182</v>
      </c>
      <c r="D205">
        <v>105.84</v>
      </c>
    </row>
    <row r="206" spans="1:4" x14ac:dyDescent="0.25">
      <c r="A206" s="18">
        <v>46022</v>
      </c>
      <c r="B206">
        <v>27079157.23</v>
      </c>
      <c r="C206">
        <v>256103.182</v>
      </c>
      <c r="D206">
        <v>105.74</v>
      </c>
    </row>
    <row r="207" spans="1:4" x14ac:dyDescent="0.25">
      <c r="A207" s="18">
        <v>46024</v>
      </c>
      <c r="B207">
        <v>27148149.140000001</v>
      </c>
      <c r="C207">
        <v>256103.182</v>
      </c>
      <c r="D207">
        <v>106</v>
      </c>
    </row>
    <row r="208" spans="1:4" x14ac:dyDescent="0.25">
      <c r="A208" s="18">
        <v>46027</v>
      </c>
      <c r="B208">
        <v>27407602.309999999</v>
      </c>
      <c r="C208">
        <v>256095.948</v>
      </c>
      <c r="D208">
        <v>107.02</v>
      </c>
    </row>
    <row r="209" spans="1:4" x14ac:dyDescent="0.25">
      <c r="A209" s="18">
        <v>46028</v>
      </c>
      <c r="B209">
        <v>27467464.48</v>
      </c>
      <c r="C209">
        <v>256095.948</v>
      </c>
      <c r="D209">
        <v>107.25</v>
      </c>
    </row>
    <row r="210" spans="1:4" x14ac:dyDescent="0.25">
      <c r="A210" s="18">
        <v>46029</v>
      </c>
      <c r="B210">
        <v>27556334.600000001</v>
      </c>
      <c r="C210">
        <v>256095.948</v>
      </c>
      <c r="D210">
        <v>107.6</v>
      </c>
    </row>
    <row r="211" spans="1:4" x14ac:dyDescent="0.25">
      <c r="A211" s="18">
        <v>46030</v>
      </c>
      <c r="B211">
        <v>27530837.440000001</v>
      </c>
      <c r="C211">
        <v>256103.182</v>
      </c>
      <c r="D211">
        <v>107.5</v>
      </c>
    </row>
    <row r="212" spans="1:4" x14ac:dyDescent="0.25">
      <c r="A212" s="18">
        <v>46031</v>
      </c>
      <c r="B212">
        <v>27638451.129999999</v>
      </c>
      <c r="C212">
        <v>256281.99400000001</v>
      </c>
      <c r="D212">
        <v>107.84</v>
      </c>
    </row>
    <row r="213" spans="1:4" x14ac:dyDescent="0.25">
      <c r="A213" s="18">
        <v>46034</v>
      </c>
      <c r="B213">
        <v>27742947.789999999</v>
      </c>
      <c r="C213">
        <v>256281.99400000001</v>
      </c>
      <c r="D213">
        <v>108.25</v>
      </c>
    </row>
    <row r="214" spans="1:4" x14ac:dyDescent="0.25">
      <c r="A214" s="18">
        <v>46035</v>
      </c>
      <c r="B214">
        <v>27654923.789999999</v>
      </c>
      <c r="C214">
        <v>256281.99400000001</v>
      </c>
      <c r="D214">
        <v>107.91</v>
      </c>
    </row>
    <row r="215" spans="1:4" x14ac:dyDescent="0.25">
      <c r="A215" s="18">
        <v>46036</v>
      </c>
      <c r="B215">
        <v>27679644.530000001</v>
      </c>
      <c r="C215">
        <v>256281.99400000001</v>
      </c>
      <c r="D215">
        <v>108</v>
      </c>
    </row>
    <row r="216" spans="1:4" x14ac:dyDescent="0.25">
      <c r="A216" s="18">
        <v>46037</v>
      </c>
      <c r="B216">
        <v>27740470.66</v>
      </c>
      <c r="C216">
        <v>256281.99400000001</v>
      </c>
      <c r="D216">
        <v>108.24</v>
      </c>
    </row>
    <row r="217" spans="1:4" x14ac:dyDescent="0.25">
      <c r="A217" s="18">
        <v>46038</v>
      </c>
      <c r="B217">
        <v>27647564.93</v>
      </c>
      <c r="C217">
        <v>256281.99400000001</v>
      </c>
      <c r="D217">
        <v>107.88</v>
      </c>
    </row>
    <row r="218" spans="1:4" x14ac:dyDescent="0.25">
      <c r="A218" s="18">
        <v>46041</v>
      </c>
      <c r="B218">
        <v>27613051.469999999</v>
      </c>
      <c r="C218">
        <v>256281.99400000001</v>
      </c>
      <c r="D218">
        <v>107.74</v>
      </c>
    </row>
    <row r="219" spans="1:4" x14ac:dyDescent="0.25">
      <c r="A219" s="18">
        <v>46042</v>
      </c>
      <c r="B219">
        <v>27482947.07</v>
      </c>
      <c r="C219">
        <v>256281.99400000001</v>
      </c>
      <c r="D219">
        <v>107.24</v>
      </c>
    </row>
    <row r="220" spans="1:4" x14ac:dyDescent="0.25">
      <c r="A220" s="18">
        <v>46043</v>
      </c>
      <c r="B220">
        <v>27543012.670000002</v>
      </c>
      <c r="C220">
        <v>256281.99400000001</v>
      </c>
      <c r="D220">
        <v>107.47</v>
      </c>
    </row>
    <row r="221" spans="1:4" x14ac:dyDescent="0.25">
      <c r="A221" s="18">
        <v>46044</v>
      </c>
      <c r="B221">
        <v>27601595.510000002</v>
      </c>
      <c r="C221">
        <v>256234.99400000001</v>
      </c>
      <c r="D221">
        <v>107.72</v>
      </c>
    </row>
    <row r="222" spans="1:4" x14ac:dyDescent="0.25">
      <c r="A222" s="18">
        <v>46045</v>
      </c>
      <c r="B222">
        <v>27644355.91</v>
      </c>
      <c r="C222">
        <v>256234.99400000001</v>
      </c>
      <c r="D222">
        <v>107.89</v>
      </c>
    </row>
    <row r="223" spans="1:4" x14ac:dyDescent="0.25">
      <c r="A223" s="18">
        <v>46048</v>
      </c>
      <c r="B223">
        <v>27616768.719999999</v>
      </c>
      <c r="C223">
        <v>256234.99400000001</v>
      </c>
      <c r="D223">
        <v>107.78</v>
      </c>
    </row>
    <row r="224" spans="1:4" x14ac:dyDescent="0.25">
      <c r="A224" s="18">
        <v>46049</v>
      </c>
      <c r="B224">
        <v>27629600.370000001</v>
      </c>
      <c r="C224">
        <v>256234.99400000001</v>
      </c>
      <c r="D224">
        <v>107.83</v>
      </c>
    </row>
    <row r="225" spans="1:4" x14ac:dyDescent="0.25">
      <c r="A225" s="18">
        <v>46050</v>
      </c>
      <c r="B225">
        <v>27637341.34</v>
      </c>
      <c r="C225">
        <v>256234.99400000001</v>
      </c>
      <c r="D225">
        <v>107.86</v>
      </c>
    </row>
    <row r="226" spans="1:4" x14ac:dyDescent="0.25">
      <c r="A226" s="18">
        <v>46051</v>
      </c>
      <c r="B226">
        <v>27607140.260000002</v>
      </c>
      <c r="C226">
        <v>256234.99400000001</v>
      </c>
      <c r="D226">
        <v>107.74</v>
      </c>
    </row>
    <row r="227" spans="1:4" x14ac:dyDescent="0.25">
      <c r="A227" s="18">
        <v>46052</v>
      </c>
      <c r="B227">
        <v>27506825.82</v>
      </c>
      <c r="C227">
        <v>256234.99400000001</v>
      </c>
      <c r="D227">
        <v>107.35</v>
      </c>
    </row>
    <row r="228" spans="1:4" x14ac:dyDescent="0.25">
      <c r="A228" s="18">
        <v>46055</v>
      </c>
      <c r="B228">
        <v>27522647.640000001</v>
      </c>
      <c r="C228">
        <v>256234.99400000001</v>
      </c>
      <c r="D228">
        <v>107.41</v>
      </c>
    </row>
    <row r="229" spans="1:4" x14ac:dyDescent="0.25">
      <c r="A229" s="18">
        <v>46056</v>
      </c>
      <c r="B229">
        <v>27616808.440000001</v>
      </c>
      <c r="C229">
        <v>256227.76300000001</v>
      </c>
      <c r="D229">
        <v>107.78</v>
      </c>
    </row>
    <row r="230" spans="1:4" x14ac:dyDescent="0.25">
      <c r="A230" s="18">
        <v>46057</v>
      </c>
      <c r="B230">
        <v>27529661.66</v>
      </c>
      <c r="C230">
        <v>256227.76300000001</v>
      </c>
      <c r="D230">
        <v>107.44</v>
      </c>
    </row>
    <row r="231" spans="1:4" x14ac:dyDescent="0.25">
      <c r="A231" s="18">
        <v>46058</v>
      </c>
      <c r="B231">
        <v>27436346.620000001</v>
      </c>
      <c r="C231">
        <v>256227.76300000001</v>
      </c>
      <c r="D231">
        <v>107.08</v>
      </c>
    </row>
    <row r="232" spans="1:4" x14ac:dyDescent="0.25">
      <c r="A232" s="18">
        <v>46059</v>
      </c>
      <c r="B232">
        <v>27495359.699999999</v>
      </c>
      <c r="C232">
        <v>256227.76300000001</v>
      </c>
      <c r="D232">
        <v>107.31</v>
      </c>
    </row>
    <row r="233" spans="1:4" x14ac:dyDescent="0.25">
      <c r="A233" s="18">
        <v>46062</v>
      </c>
      <c r="B233">
        <v>28580230.77</v>
      </c>
      <c r="C233">
        <v>265546.55900000001</v>
      </c>
      <c r="D233">
        <v>107.63</v>
      </c>
    </row>
    <row r="234" spans="1:4" x14ac:dyDescent="0.25">
      <c r="A234" s="18">
        <v>46063</v>
      </c>
      <c r="B234">
        <v>28578094.309999999</v>
      </c>
      <c r="C234">
        <v>265546.55900000001</v>
      </c>
      <c r="D234">
        <v>107.62</v>
      </c>
    </row>
    <row r="235" spans="1:4" x14ac:dyDescent="0.25">
      <c r="A235" s="18">
        <v>46064</v>
      </c>
      <c r="B235">
        <v>28603739.469999999</v>
      </c>
      <c r="C235">
        <v>265546.55900000001</v>
      </c>
      <c r="D235">
        <v>107.72</v>
      </c>
    </row>
    <row r="236" spans="1:4" x14ac:dyDescent="0.25">
      <c r="A236" s="18">
        <v>46065</v>
      </c>
      <c r="B236">
        <v>28698885.390000001</v>
      </c>
      <c r="C236">
        <v>267180.84899999999</v>
      </c>
      <c r="D236">
        <v>107.41</v>
      </c>
    </row>
    <row r="237" spans="1:4" x14ac:dyDescent="0.25">
      <c r="A237" s="18">
        <v>46066</v>
      </c>
      <c r="B237">
        <v>28751162.399999999</v>
      </c>
      <c r="C237">
        <v>267180.84899999999</v>
      </c>
      <c r="D237">
        <v>107.61</v>
      </c>
    </row>
    <row r="238" spans="1:4" x14ac:dyDescent="0.25">
      <c r="A238" s="18">
        <v>46069</v>
      </c>
      <c r="B238">
        <v>28766429.420000002</v>
      </c>
      <c r="C238">
        <v>267180.84899999999</v>
      </c>
      <c r="D238">
        <v>107.67</v>
      </c>
    </row>
    <row r="239" spans="1:4" x14ac:dyDescent="0.25">
      <c r="A239" s="18">
        <v>46070</v>
      </c>
      <c r="B239">
        <v>28760240.800000001</v>
      </c>
      <c r="C239">
        <v>267180.84899999999</v>
      </c>
      <c r="D239">
        <v>107.64</v>
      </c>
    </row>
    <row r="240" spans="1:4" x14ac:dyDescent="0.25">
      <c r="A240" s="18">
        <v>46071</v>
      </c>
      <c r="B240">
        <v>28866919.93</v>
      </c>
      <c r="C240">
        <v>267180.84899999999</v>
      </c>
      <c r="D240">
        <v>108.04</v>
      </c>
    </row>
    <row r="241" spans="1:4" x14ac:dyDescent="0.25">
      <c r="A241" s="18">
        <v>46072</v>
      </c>
      <c r="B241">
        <v>28845701.899999999</v>
      </c>
      <c r="C241">
        <v>267180.84899999999</v>
      </c>
      <c r="D241">
        <v>107.96</v>
      </c>
    </row>
    <row r="242" spans="1:4" x14ac:dyDescent="0.25">
      <c r="A242" s="18">
        <v>46073</v>
      </c>
      <c r="B242">
        <v>28847120.100000001</v>
      </c>
      <c r="C242">
        <v>267180.84899999999</v>
      </c>
      <c r="D242">
        <v>107.97</v>
      </c>
    </row>
    <row r="243" spans="1:4" x14ac:dyDescent="0.25">
      <c r="A243" s="18">
        <v>46076</v>
      </c>
      <c r="B243">
        <v>28841118.969999999</v>
      </c>
      <c r="C243">
        <v>267180.84899999999</v>
      </c>
      <c r="D243">
        <v>107.95</v>
      </c>
    </row>
    <row r="244" spans="1:4" x14ac:dyDescent="0.25">
      <c r="A244" s="18">
        <v>46077</v>
      </c>
      <c r="B244">
        <v>28939769.32</v>
      </c>
      <c r="C244">
        <v>267847.82299999997</v>
      </c>
      <c r="D244">
        <v>108.05</v>
      </c>
    </row>
    <row r="245" spans="1:4" x14ac:dyDescent="0.25">
      <c r="A245" s="18">
        <v>46078</v>
      </c>
      <c r="B245">
        <v>28957848.309999999</v>
      </c>
      <c r="C245">
        <v>267847.82299999997</v>
      </c>
      <c r="D245">
        <v>108.11</v>
      </c>
    </row>
    <row r="246" spans="1:4" x14ac:dyDescent="0.25">
      <c r="A246" s="18">
        <v>46079</v>
      </c>
      <c r="B246">
        <v>28966430.010000002</v>
      </c>
      <c r="C246">
        <v>267847.82299999997</v>
      </c>
      <c r="D246">
        <v>108.15</v>
      </c>
    </row>
    <row r="247" spans="1:4" x14ac:dyDescent="0.25">
      <c r="A247" s="18">
        <v>46080</v>
      </c>
      <c r="B247">
        <v>28951992.940000001</v>
      </c>
      <c r="C247">
        <v>267847.82299999997</v>
      </c>
      <c r="D247">
        <v>108.09</v>
      </c>
    </row>
    <row r="248" spans="1:4" x14ac:dyDescent="0.25">
      <c r="A248" s="18">
        <v>46083</v>
      </c>
      <c r="B248">
        <v>28801582</v>
      </c>
      <c r="C248">
        <v>268264.14199999999</v>
      </c>
      <c r="D248">
        <v>107.36</v>
      </c>
    </row>
    <row r="249" spans="1:4" x14ac:dyDescent="0.25">
      <c r="A249" s="18">
        <v>46084</v>
      </c>
      <c r="B249">
        <v>28455374.440000001</v>
      </c>
      <c r="C249">
        <v>268256.91499999998</v>
      </c>
      <c r="D249">
        <v>106.08</v>
      </c>
    </row>
    <row r="250" spans="1:4" x14ac:dyDescent="0.25">
      <c r="A250" s="18">
        <v>46085</v>
      </c>
      <c r="B250">
        <v>28499196.460000001</v>
      </c>
      <c r="C250">
        <v>268256.91499999998</v>
      </c>
      <c r="D250">
        <v>106.24</v>
      </c>
    </row>
    <row r="251" spans="1:4" x14ac:dyDescent="0.25">
      <c r="A251" s="18">
        <v>46086</v>
      </c>
      <c r="B251">
        <v>28262768.66</v>
      </c>
      <c r="C251">
        <v>268256.91499999998</v>
      </c>
      <c r="D251">
        <v>105.36</v>
      </c>
    </row>
    <row r="252" spans="1:4" x14ac:dyDescent="0.25">
      <c r="A252" s="18">
        <v>46087</v>
      </c>
      <c r="B252">
        <v>28216090.050000001</v>
      </c>
      <c r="C252">
        <v>268615.11800000002</v>
      </c>
      <c r="D252">
        <v>105.04</v>
      </c>
    </row>
    <row r="253" spans="1:4" x14ac:dyDescent="0.25">
      <c r="A253" s="18">
        <v>46090</v>
      </c>
      <c r="B253">
        <v>28065578.059999999</v>
      </c>
      <c r="C253">
        <v>268615.11800000002</v>
      </c>
      <c r="D253">
        <v>104.48</v>
      </c>
    </row>
    <row r="254" spans="1:4" x14ac:dyDescent="0.25">
      <c r="A254" s="18">
        <v>46091</v>
      </c>
      <c r="B254">
        <v>28341269.09</v>
      </c>
      <c r="C254">
        <v>268615.11800000002</v>
      </c>
      <c r="D254">
        <v>105.51</v>
      </c>
    </row>
    <row r="255" spans="1:4" x14ac:dyDescent="0.25">
      <c r="A255" s="18">
        <v>46092</v>
      </c>
      <c r="B255">
        <v>28149350.030000001</v>
      </c>
      <c r="C255">
        <v>268615.11800000002</v>
      </c>
      <c r="D255">
        <v>104.79</v>
      </c>
    </row>
    <row r="256" spans="1:4" x14ac:dyDescent="0.25">
      <c r="A256" s="18">
        <v>46093</v>
      </c>
      <c r="B256">
        <v>27966881.32</v>
      </c>
      <c r="C256">
        <v>268615.11800000002</v>
      </c>
      <c r="D256">
        <v>104.12</v>
      </c>
    </row>
    <row r="257" spans="1:4" x14ac:dyDescent="0.25">
      <c r="A257" s="18">
        <v>46094</v>
      </c>
      <c r="B257">
        <v>27817016.030000001</v>
      </c>
      <c r="C257">
        <v>268615.11800000002</v>
      </c>
      <c r="D257">
        <v>103.56</v>
      </c>
    </row>
    <row r="258" spans="1:4" x14ac:dyDescent="0.25">
      <c r="A258" s="18">
        <v>46097</v>
      </c>
      <c r="B258">
        <v>27825279.390000001</v>
      </c>
      <c r="C258">
        <v>268615.11800000002</v>
      </c>
      <c r="D258">
        <v>103.59</v>
      </c>
    </row>
    <row r="259" spans="1:4" x14ac:dyDescent="0.25">
      <c r="A259" s="18">
        <v>46098</v>
      </c>
      <c r="B259">
        <v>27840718.989999998</v>
      </c>
      <c r="C259">
        <v>268615.11800000002</v>
      </c>
      <c r="D259">
        <v>103.65</v>
      </c>
    </row>
    <row r="260" spans="1:4" x14ac:dyDescent="0.25">
      <c r="A260" s="18">
        <v>46099</v>
      </c>
      <c r="B260">
        <v>27786866.93</v>
      </c>
      <c r="C260">
        <v>268615.11800000002</v>
      </c>
      <c r="D260">
        <v>103.44</v>
      </c>
    </row>
    <row r="261" spans="1:4" x14ac:dyDescent="0.25">
      <c r="A261" s="18">
        <v>46100</v>
      </c>
      <c r="B261">
        <v>27498113.48</v>
      </c>
      <c r="C261">
        <v>269088.82199999999</v>
      </c>
      <c r="D261">
        <v>102.19</v>
      </c>
    </row>
    <row r="262" spans="1:4" x14ac:dyDescent="0.25">
      <c r="A262" s="18">
        <v>46101</v>
      </c>
      <c r="B262">
        <v>27253840.780000001</v>
      </c>
      <c r="C262">
        <v>269088.82199999999</v>
      </c>
      <c r="D262">
        <v>101.28</v>
      </c>
    </row>
    <row r="263" spans="1:4" x14ac:dyDescent="0.25">
      <c r="A263" s="18">
        <v>46104</v>
      </c>
      <c r="B263">
        <v>27299559.280000001</v>
      </c>
      <c r="C263">
        <v>269233.82199999999</v>
      </c>
      <c r="D263">
        <v>101.4</v>
      </c>
    </row>
    <row r="264" spans="1:4" x14ac:dyDescent="0.25">
      <c r="A264" s="18">
        <v>46105</v>
      </c>
      <c r="B264">
        <v>27335464.649999999</v>
      </c>
      <c r="C264">
        <v>269233.82199999999</v>
      </c>
      <c r="D264">
        <v>101.53</v>
      </c>
    </row>
    <row r="265" spans="1:4" x14ac:dyDescent="0.25">
      <c r="A265" s="18">
        <v>46106</v>
      </c>
      <c r="B265">
        <v>27565963.100000001</v>
      </c>
      <c r="C265">
        <v>269233.82199999999</v>
      </c>
      <c r="D265">
        <v>102.39</v>
      </c>
    </row>
    <row r="266" spans="1:4" x14ac:dyDescent="0.25">
      <c r="A266" s="18">
        <v>46107</v>
      </c>
      <c r="B266">
        <v>27379862.73</v>
      </c>
      <c r="C266">
        <v>269233.82199999999</v>
      </c>
      <c r="D266">
        <v>101.7</v>
      </c>
    </row>
    <row r="267" spans="1:4" x14ac:dyDescent="0.25">
      <c r="A267" s="18">
        <v>46108</v>
      </c>
      <c r="B267">
        <v>27229995.120000001</v>
      </c>
      <c r="C267">
        <v>269233.82199999999</v>
      </c>
      <c r="D267">
        <v>101.14</v>
      </c>
    </row>
    <row r="268" spans="1:4" x14ac:dyDescent="0.25">
      <c r="A268" s="18">
        <v>46111</v>
      </c>
      <c r="B268">
        <v>27246558.73</v>
      </c>
      <c r="C268">
        <v>269233.82199999999</v>
      </c>
      <c r="D268">
        <v>101.2</v>
      </c>
    </row>
    <row r="269" spans="1:4" x14ac:dyDescent="0.25">
      <c r="A269" s="18">
        <v>46112</v>
      </c>
      <c r="B269">
        <v>27370688.34</v>
      </c>
      <c r="C269">
        <v>269233.82199999999</v>
      </c>
      <c r="D269">
        <v>101.66</v>
      </c>
    </row>
    <row r="270" spans="1:4" x14ac:dyDescent="0.25">
      <c r="A270" s="18">
        <v>46113</v>
      </c>
      <c r="B270">
        <v>27732665.530000001</v>
      </c>
      <c r="C270">
        <v>269233.82199999999</v>
      </c>
      <c r="D270">
        <v>103.01</v>
      </c>
    </row>
    <row r="271" spans="1:4" x14ac:dyDescent="0.25">
      <c r="A271" s="18">
        <v>46114</v>
      </c>
      <c r="B271">
        <v>27646186.98</v>
      </c>
      <c r="C271">
        <v>269226.598</v>
      </c>
      <c r="D271">
        <v>102.69</v>
      </c>
    </row>
    <row r="272" spans="1:4" x14ac:dyDescent="0.25">
      <c r="A272" s="18">
        <v>46119</v>
      </c>
      <c r="B272">
        <v>27546576.039999999</v>
      </c>
      <c r="C272">
        <v>269226.598</v>
      </c>
      <c r="D272">
        <v>102.32</v>
      </c>
    </row>
    <row r="273" spans="1:4" x14ac:dyDescent="0.25">
      <c r="A273" s="18">
        <v>46120</v>
      </c>
      <c r="B273">
        <v>28291992.140000001</v>
      </c>
      <c r="C273">
        <v>269226.598</v>
      </c>
      <c r="D273">
        <v>105.09</v>
      </c>
    </row>
    <row r="274" spans="1:4" x14ac:dyDescent="0.25">
      <c r="A274" s="18">
        <v>46121</v>
      </c>
      <c r="B274">
        <v>28293746.370000001</v>
      </c>
      <c r="C274">
        <v>269226.598</v>
      </c>
      <c r="D274">
        <v>105.09</v>
      </c>
    </row>
    <row r="275" spans="1:4" x14ac:dyDescent="0.25">
      <c r="A275" s="18">
        <v>46122</v>
      </c>
      <c r="B275">
        <v>28387159.18</v>
      </c>
      <c r="C275">
        <v>269226.598</v>
      </c>
      <c r="D275">
        <v>105.44</v>
      </c>
    </row>
    <row r="276" spans="1:4" x14ac:dyDescent="0.25">
      <c r="A276" s="18">
        <v>46125</v>
      </c>
      <c r="B276">
        <v>28312249.149999999</v>
      </c>
      <c r="C276">
        <v>269226.598</v>
      </c>
      <c r="D276">
        <v>105.16</v>
      </c>
    </row>
    <row r="277" spans="1:4" x14ac:dyDescent="0.25">
      <c r="A277" s="18">
        <v>46126</v>
      </c>
      <c r="B277">
        <v>28481255.289999999</v>
      </c>
      <c r="C277">
        <v>269226.598</v>
      </c>
      <c r="D277">
        <v>105.79</v>
      </c>
    </row>
    <row r="278" spans="1:4" x14ac:dyDescent="0.25">
      <c r="A278" s="18">
        <v>46127</v>
      </c>
      <c r="B278">
        <v>28378209.440000001</v>
      </c>
      <c r="C278">
        <v>269226.598</v>
      </c>
      <c r="D278">
        <v>105.41</v>
      </c>
    </row>
    <row r="279" spans="1:4" x14ac:dyDescent="0.25">
      <c r="A279" s="18">
        <v>46128</v>
      </c>
      <c r="B279">
        <v>28285058.739999998</v>
      </c>
      <c r="C279">
        <v>269226.598</v>
      </c>
      <c r="D279">
        <v>105.06</v>
      </c>
    </row>
    <row r="280" spans="1:4" x14ac:dyDescent="0.25">
      <c r="A280" s="18">
        <v>46129</v>
      </c>
      <c r="B280">
        <v>28561746.52</v>
      </c>
      <c r="C280">
        <v>269519.598</v>
      </c>
      <c r="D280">
        <v>105.97</v>
      </c>
    </row>
    <row r="281" spans="1:4" x14ac:dyDescent="0.25">
      <c r="A281" s="18">
        <v>46132</v>
      </c>
      <c r="B281">
        <v>28553697</v>
      </c>
      <c r="C281">
        <v>270503.598</v>
      </c>
      <c r="D281">
        <v>105.56</v>
      </c>
    </row>
    <row r="282" spans="1:4" x14ac:dyDescent="0.25">
      <c r="A282" s="18">
        <v>46133</v>
      </c>
      <c r="B282">
        <v>28386884.359999999</v>
      </c>
      <c r="C282">
        <v>270503.598</v>
      </c>
      <c r="D282">
        <v>104.94</v>
      </c>
    </row>
    <row r="283" spans="1:4" x14ac:dyDescent="0.25">
      <c r="A283" s="18">
        <v>46134</v>
      </c>
      <c r="B283">
        <v>28403449.210000001</v>
      </c>
      <c r="C283">
        <v>270503.598</v>
      </c>
      <c r="D283">
        <v>105</v>
      </c>
    </row>
    <row r="284" spans="1:4" x14ac:dyDescent="0.25">
      <c r="A284" s="18">
        <v>46135</v>
      </c>
      <c r="B284">
        <v>28324501.120000001</v>
      </c>
      <c r="C284">
        <v>270503.598</v>
      </c>
      <c r="D284">
        <v>104.71</v>
      </c>
    </row>
    <row r="285" spans="1:4" x14ac:dyDescent="0.25">
      <c r="A285" s="18">
        <v>46136</v>
      </c>
      <c r="B285">
        <v>28321568.940000001</v>
      </c>
      <c r="C285">
        <v>270503.598</v>
      </c>
      <c r="D285">
        <v>104.7</v>
      </c>
    </row>
    <row r="286" spans="1:4" x14ac:dyDescent="0.25">
      <c r="A286" s="18">
        <v>46139</v>
      </c>
      <c r="B286">
        <v>28252380.68</v>
      </c>
      <c r="C286">
        <v>270503.598</v>
      </c>
      <c r="D286">
        <v>104.44</v>
      </c>
    </row>
    <row r="287" spans="1:4" x14ac:dyDescent="0.25">
      <c r="A287" s="18">
        <v>46140</v>
      </c>
      <c r="B287">
        <v>28122128.5</v>
      </c>
      <c r="C287">
        <v>270503.598</v>
      </c>
      <c r="D287">
        <v>103.96</v>
      </c>
    </row>
    <row r="288" spans="1:4" x14ac:dyDescent="0.25">
      <c r="A288" s="18">
        <v>46141</v>
      </c>
      <c r="B288">
        <v>28048656.100000001</v>
      </c>
      <c r="C288">
        <v>270503.598</v>
      </c>
      <c r="D288">
        <v>103.69</v>
      </c>
    </row>
    <row r="289" spans="1:4" x14ac:dyDescent="0.25">
      <c r="A289" s="18">
        <v>46142</v>
      </c>
      <c r="B289">
        <v>28327301.829999998</v>
      </c>
      <c r="C289">
        <v>270503.598</v>
      </c>
      <c r="D289">
        <v>104.72</v>
      </c>
    </row>
    <row r="290" spans="1:4" x14ac:dyDescent="0.25">
      <c r="A290" s="18">
        <v>46146</v>
      </c>
      <c r="B290">
        <v>28162971.600000001</v>
      </c>
      <c r="C290">
        <v>270503.598</v>
      </c>
      <c r="D290">
        <v>104.11</v>
      </c>
    </row>
    <row r="291" spans="1:4" x14ac:dyDescent="0.25">
      <c r="A291" s="18">
        <v>46147</v>
      </c>
      <c r="B291">
        <v>28269472.690000001</v>
      </c>
      <c r="C291">
        <v>270496.37699999998</v>
      </c>
      <c r="D291">
        <v>104.51</v>
      </c>
    </row>
    <row r="292" spans="1:4" x14ac:dyDescent="0.25">
      <c r="A292" s="18">
        <v>46148</v>
      </c>
      <c r="B292">
        <v>28739753.850000001</v>
      </c>
      <c r="C292">
        <v>270496.37699999998</v>
      </c>
      <c r="D292">
        <v>106.25</v>
      </c>
    </row>
    <row r="293" spans="1:4" x14ac:dyDescent="0.25">
      <c r="A293" s="18">
        <v>46149</v>
      </c>
      <c r="B293">
        <v>28643409.23</v>
      </c>
      <c r="C293">
        <v>270496.37699999998</v>
      </c>
      <c r="D293">
        <v>105.89</v>
      </c>
    </row>
    <row r="294" spans="1:4" x14ac:dyDescent="0.25">
      <c r="A294" s="18">
        <v>46150</v>
      </c>
      <c r="B294">
        <v>28451689.989999998</v>
      </c>
      <c r="C294">
        <v>270496.37699999998</v>
      </c>
      <c r="D294">
        <v>105.18</v>
      </c>
    </row>
    <row r="295" spans="1:4" x14ac:dyDescent="0.25">
      <c r="A295" s="18">
        <v>46153</v>
      </c>
      <c r="B295">
        <v>28505633.940000001</v>
      </c>
      <c r="C295">
        <v>270496.37699999998</v>
      </c>
      <c r="D295">
        <v>105.38</v>
      </c>
    </row>
    <row r="296" spans="1:4" x14ac:dyDescent="0.25">
      <c r="A296" s="18">
        <v>46154</v>
      </c>
      <c r="B296">
        <v>28323680.829999998</v>
      </c>
      <c r="C296">
        <v>270860.37699999998</v>
      </c>
      <c r="D296">
        <v>104.57</v>
      </c>
    </row>
    <row r="297" spans="1:4" x14ac:dyDescent="0.25">
      <c r="A297" s="18">
        <v>46155</v>
      </c>
      <c r="B297">
        <v>28455756.280000001</v>
      </c>
      <c r="C297">
        <v>270860.37699999998</v>
      </c>
      <c r="D297">
        <v>105.06</v>
      </c>
    </row>
    <row r="298" spans="1:4" x14ac:dyDescent="0.25">
      <c r="A298" s="18">
        <v>46157</v>
      </c>
      <c r="B298">
        <v>28055919.469999999</v>
      </c>
      <c r="C298">
        <v>271405.87400000001</v>
      </c>
      <c r="D298">
        <v>103.37</v>
      </c>
    </row>
    <row r="299" spans="1:4" x14ac:dyDescent="0.25">
      <c r="A299" s="18">
        <v>46160</v>
      </c>
      <c r="B299">
        <v>28018655.48</v>
      </c>
      <c r="C299">
        <v>271393.02500000002</v>
      </c>
      <c r="D299">
        <v>103.24</v>
      </c>
    </row>
    <row r="300" spans="1:4" x14ac:dyDescent="0.25">
      <c r="A300" s="18">
        <v>46161</v>
      </c>
      <c r="B300">
        <v>27883431.420000002</v>
      </c>
      <c r="C300">
        <v>271393.02500000002</v>
      </c>
      <c r="D300">
        <v>102.74</v>
      </c>
    </row>
    <row r="301" spans="1:4" x14ac:dyDescent="0.25">
      <c r="A301" s="18">
        <v>46162</v>
      </c>
      <c r="B301">
        <v>28142552.149999999</v>
      </c>
      <c r="C301">
        <v>271680.87699999998</v>
      </c>
      <c r="D301">
        <v>103.59</v>
      </c>
    </row>
    <row r="302" spans="1:4" x14ac:dyDescent="0.25">
      <c r="A302" s="18">
        <v>46163</v>
      </c>
      <c r="B302">
        <v>28144868.73</v>
      </c>
      <c r="C302">
        <v>271680.87699999998</v>
      </c>
      <c r="D302">
        <v>103.6</v>
      </c>
    </row>
    <row r="303" spans="1:4" x14ac:dyDescent="0.25">
      <c r="A303" s="18">
        <v>46164</v>
      </c>
      <c r="B303">
        <v>28207314.780000001</v>
      </c>
      <c r="C303">
        <v>271680.87699999998</v>
      </c>
      <c r="D303">
        <v>103.83</v>
      </c>
    </row>
    <row r="304" spans="1:4" x14ac:dyDescent="0.25">
      <c r="A304" s="18">
        <v>46168</v>
      </c>
      <c r="B304">
        <v>28445151.309999999</v>
      </c>
      <c r="C304">
        <v>271680.87699999998</v>
      </c>
      <c r="D304">
        <v>104.7</v>
      </c>
    </row>
    <row r="305" spans="1:4" x14ac:dyDescent="0.25">
      <c r="A305" s="18">
        <v>46169</v>
      </c>
      <c r="B305">
        <v>28413053.370000001</v>
      </c>
      <c r="C305">
        <v>271680.87699999998</v>
      </c>
      <c r="D305">
        <v>104.58</v>
      </c>
    </row>
    <row r="306" spans="1:4" x14ac:dyDescent="0.25">
      <c r="A306" s="18">
        <v>46170</v>
      </c>
      <c r="B306">
        <v>28407075.260000002</v>
      </c>
      <c r="C306">
        <v>271680.87699999998</v>
      </c>
      <c r="D306">
        <v>104.56</v>
      </c>
    </row>
    <row r="307" spans="1:4" x14ac:dyDescent="0.25">
      <c r="A307" s="18">
        <v>46171</v>
      </c>
      <c r="B307">
        <v>28531977.84</v>
      </c>
      <c r="C307">
        <v>271680.87699999998</v>
      </c>
      <c r="D307">
        <v>105.02</v>
      </c>
    </row>
    <row r="308" spans="1:4" x14ac:dyDescent="0.25">
      <c r="A308" s="18">
        <v>46174</v>
      </c>
      <c r="B308">
        <v>28446958.170000002</v>
      </c>
      <c r="C308">
        <v>271680.87699999998</v>
      </c>
      <c r="D308">
        <v>104.71</v>
      </c>
    </row>
    <row r="309" spans="1:4" x14ac:dyDescent="0.25">
      <c r="A309" s="18">
        <v>46175</v>
      </c>
      <c r="B309">
        <v>28540971.550000001</v>
      </c>
      <c r="C309">
        <v>271626.50900000002</v>
      </c>
      <c r="D309">
        <v>105.07</v>
      </c>
    </row>
    <row r="310" spans="1:4" x14ac:dyDescent="0.25">
      <c r="A310" s="18">
        <v>46176</v>
      </c>
      <c r="B310">
        <v>28397284.73</v>
      </c>
      <c r="C310">
        <v>271626.50900000002</v>
      </c>
      <c r="D310">
        <v>104.55</v>
      </c>
    </row>
    <row r="311" spans="1:4" x14ac:dyDescent="0.25">
      <c r="A311" s="18">
        <v>46177</v>
      </c>
      <c r="B311">
        <v>28365370.050000001</v>
      </c>
      <c r="C311">
        <v>271626.50900000002</v>
      </c>
      <c r="D311">
        <v>104.43</v>
      </c>
    </row>
    <row r="312" spans="1:4" x14ac:dyDescent="0.25">
      <c r="A312" s="18">
        <v>46178</v>
      </c>
      <c r="B312">
        <v>28163385.039999999</v>
      </c>
      <c r="C312">
        <v>271626.50900000002</v>
      </c>
      <c r="D312">
        <v>103.68</v>
      </c>
    </row>
    <row r="313" spans="1:4" x14ac:dyDescent="0.25">
      <c r="A313" s="18">
        <v>46181</v>
      </c>
      <c r="B313">
        <v>28077620.32</v>
      </c>
      <c r="C313">
        <v>271617.50900000002</v>
      </c>
      <c r="D313">
        <v>103.37</v>
      </c>
    </row>
    <row r="314" spans="1:4" x14ac:dyDescent="0.25">
      <c r="A314" s="18">
        <v>46182</v>
      </c>
      <c r="B314">
        <v>27869728.149999999</v>
      </c>
      <c r="C314">
        <v>271617.50900000002</v>
      </c>
      <c r="D314">
        <v>102.61</v>
      </c>
    </row>
    <row r="315" spans="1:4" x14ac:dyDescent="0.25">
      <c r="A315" s="18">
        <v>46183</v>
      </c>
      <c r="B315">
        <v>27763908.489999998</v>
      </c>
      <c r="C315">
        <v>271617.50900000002</v>
      </c>
      <c r="D315">
        <v>102.22</v>
      </c>
    </row>
    <row r="316" spans="1:4" x14ac:dyDescent="0.25">
      <c r="A316" s="18">
        <v>46184</v>
      </c>
      <c r="B316">
        <v>27591936.859999999</v>
      </c>
      <c r="C316">
        <v>268723.50900000002</v>
      </c>
      <c r="D316">
        <v>102.68</v>
      </c>
    </row>
    <row r="317" spans="1:4" x14ac:dyDescent="0.25">
      <c r="A317" s="18">
        <v>46185</v>
      </c>
      <c r="B317">
        <v>28057423.550000001</v>
      </c>
      <c r="C317">
        <v>269843.49300000002</v>
      </c>
      <c r="D317">
        <v>103.98</v>
      </c>
    </row>
    <row r="318" spans="1:4" x14ac:dyDescent="0.25">
      <c r="A318" s="18">
        <v>46188</v>
      </c>
      <c r="B318">
        <v>28474638.23</v>
      </c>
      <c r="C318">
        <v>269843.49300000002</v>
      </c>
      <c r="D318">
        <v>105.52</v>
      </c>
    </row>
    <row r="319" spans="1:4" x14ac:dyDescent="0.25">
      <c r="A319" s="18">
        <v>46189</v>
      </c>
      <c r="B319">
        <v>28496081.420000002</v>
      </c>
      <c r="C319">
        <v>269843.49300000002</v>
      </c>
      <c r="D319">
        <v>105.6</v>
      </c>
    </row>
    <row r="320" spans="1:4" x14ac:dyDescent="0.25">
      <c r="A320" s="18">
        <v>46190</v>
      </c>
      <c r="B320">
        <v>28685943.09</v>
      </c>
      <c r="C320">
        <v>270310.33899999998</v>
      </c>
      <c r="D320">
        <v>106.12</v>
      </c>
    </row>
    <row r="321" spans="1:4" x14ac:dyDescent="0.25">
      <c r="A321" s="18">
        <v>46191</v>
      </c>
      <c r="B321">
        <v>28612998.399999999</v>
      </c>
      <c r="C321">
        <v>270310.33899999998</v>
      </c>
      <c r="D321">
        <v>105.85</v>
      </c>
    </row>
    <row r="322" spans="1:4" x14ac:dyDescent="0.25">
      <c r="A322" s="18">
        <v>46192</v>
      </c>
      <c r="B322">
        <v>28552172.510000002</v>
      </c>
      <c r="C322">
        <v>270310.33899999998</v>
      </c>
      <c r="D322">
        <v>105.63</v>
      </c>
    </row>
    <row r="323" spans="1:4" x14ac:dyDescent="0.25">
      <c r="A323" s="18">
        <v>46195</v>
      </c>
      <c r="B323">
        <v>28592763.82</v>
      </c>
      <c r="C323">
        <v>270310.33899999998</v>
      </c>
      <c r="D323">
        <v>105.78</v>
      </c>
    </row>
    <row r="324" spans="1:4" x14ac:dyDescent="0.25">
      <c r="A324" s="18">
        <v>46197</v>
      </c>
      <c r="B324">
        <v>28439990.609999999</v>
      </c>
      <c r="C324">
        <v>270310.33899999998</v>
      </c>
      <c r="D324">
        <v>105.21</v>
      </c>
    </row>
    <row r="325" spans="1:4" x14ac:dyDescent="0.25">
      <c r="A325" s="18">
        <v>46198</v>
      </c>
      <c r="B325">
        <v>28504138.260000002</v>
      </c>
      <c r="C325">
        <v>270310.33899999998</v>
      </c>
      <c r="D325">
        <v>105.45</v>
      </c>
    </row>
    <row r="326" spans="1:4" x14ac:dyDescent="0.25">
      <c r="A326" s="18">
        <v>46202</v>
      </c>
      <c r="B326">
        <v>28337302.989999998</v>
      </c>
      <c r="C326">
        <v>271349.70600000001</v>
      </c>
      <c r="D326">
        <v>104.43</v>
      </c>
    </row>
    <row r="327" spans="1:4" x14ac:dyDescent="0.25">
      <c r="A327" s="18">
        <v>46203</v>
      </c>
      <c r="B327">
        <v>28370863.359999999</v>
      </c>
      <c r="C327">
        <v>271349.70600000001</v>
      </c>
      <c r="D327">
        <v>104.55</v>
      </c>
    </row>
    <row r="328" spans="1:4" x14ac:dyDescent="0.25">
      <c r="A328" s="18">
        <v>46204</v>
      </c>
      <c r="B328">
        <v>28391280.210000001</v>
      </c>
      <c r="C328">
        <v>271349.70600000001</v>
      </c>
      <c r="D328">
        <v>104.63</v>
      </c>
    </row>
    <row r="329" spans="1:4" x14ac:dyDescent="0.25">
      <c r="A329" s="18">
        <v>46205</v>
      </c>
      <c r="B329">
        <v>28597688.829999998</v>
      </c>
      <c r="C329">
        <v>271342.49200000003</v>
      </c>
      <c r="D329">
        <v>105.39</v>
      </c>
    </row>
    <row r="330" spans="1:4" x14ac:dyDescent="0.25">
      <c r="A330" s="18">
        <v>46206</v>
      </c>
      <c r="B330">
        <v>28863095.079999998</v>
      </c>
      <c r="C330">
        <v>271342.49200000003</v>
      </c>
      <c r="D330">
        <v>106.37</v>
      </c>
    </row>
    <row r="331" spans="1:4" x14ac:dyDescent="0.25">
      <c r="A331" s="18">
        <v>46209</v>
      </c>
      <c r="B331">
        <v>28929787.52</v>
      </c>
      <c r="C331">
        <v>271342.49200000003</v>
      </c>
      <c r="D331">
        <v>106.62</v>
      </c>
    </row>
    <row r="332" spans="1:4" x14ac:dyDescent="0.25">
      <c r="A332" s="18">
        <v>46210</v>
      </c>
      <c r="B332">
        <v>28715403.850000001</v>
      </c>
      <c r="C332">
        <v>271342.49200000003</v>
      </c>
      <c r="D332">
        <v>105.83</v>
      </c>
    </row>
    <row r="333" spans="1:4" x14ac:dyDescent="0.25">
      <c r="A333" s="18">
        <v>46211</v>
      </c>
      <c r="B333">
        <v>28365697.050000001</v>
      </c>
      <c r="C333">
        <v>271342.49200000003</v>
      </c>
      <c r="D333">
        <v>104.54</v>
      </c>
    </row>
    <row r="334" spans="1:4" x14ac:dyDescent="0.25">
      <c r="A334" s="18">
        <v>46212</v>
      </c>
      <c r="B334">
        <v>28392664.140000001</v>
      </c>
      <c r="C334">
        <v>271342.49200000003</v>
      </c>
      <c r="D334">
        <v>104.64</v>
      </c>
    </row>
    <row r="335" spans="1:4" x14ac:dyDescent="0.25">
      <c r="A335" s="18">
        <v>46213</v>
      </c>
      <c r="B335">
        <v>28461044.07</v>
      </c>
      <c r="C335">
        <v>271342.49200000003</v>
      </c>
      <c r="D335">
        <v>104.89</v>
      </c>
    </row>
    <row r="336" spans="1:4" x14ac:dyDescent="0.25">
      <c r="A336" s="18">
        <v>46216</v>
      </c>
      <c r="B336">
        <v>28369259.109999999</v>
      </c>
      <c r="C336">
        <v>271342.49200000003</v>
      </c>
      <c r="D336">
        <v>104.55</v>
      </c>
    </row>
    <row r="337" spans="1:4" x14ac:dyDescent="0.25">
      <c r="A337" s="18">
        <v>46217</v>
      </c>
      <c r="B337">
        <v>28358451.550000001</v>
      </c>
      <c r="C337">
        <v>271342.49200000003</v>
      </c>
      <c r="D337">
        <v>104.51</v>
      </c>
    </row>
    <row r="338" spans="1:4" x14ac:dyDescent="0.25">
      <c r="A338" s="18">
        <v>46218</v>
      </c>
      <c r="B338">
        <v>28493361.82</v>
      </c>
      <c r="C338">
        <v>271342.49200000003</v>
      </c>
      <c r="D338">
        <v>105.01</v>
      </c>
    </row>
    <row r="339" spans="1:4" x14ac:dyDescent="0.25">
      <c r="A339" s="18">
        <v>46219</v>
      </c>
      <c r="B339">
        <v>28376004.579999998</v>
      </c>
      <c r="C339">
        <v>271342.49200000003</v>
      </c>
      <c r="D339">
        <v>104.58</v>
      </c>
    </row>
    <row r="340" spans="1:4" x14ac:dyDescent="0.25">
      <c r="A340" s="18">
        <v>46220</v>
      </c>
      <c r="B340">
        <v>28286378.77</v>
      </c>
      <c r="C340">
        <v>271342.49200000003</v>
      </c>
      <c r="D340">
        <v>104.25</v>
      </c>
    </row>
    <row r="341" spans="1:4" x14ac:dyDescent="0.25">
      <c r="A341" s="18">
        <v>46223</v>
      </c>
      <c r="B341">
        <v>28233958.629999999</v>
      </c>
      <c r="C341">
        <v>271342.49200000003</v>
      </c>
      <c r="D341">
        <v>104.05</v>
      </c>
    </row>
    <row r="342" spans="1:4" x14ac:dyDescent="0.25">
      <c r="A342" s="18">
        <v>46224</v>
      </c>
      <c r="B342">
        <v>28304726.940000001</v>
      </c>
      <c r="C342">
        <v>271342.49200000003</v>
      </c>
      <c r="D342">
        <v>104.31</v>
      </c>
    </row>
    <row r="343" spans="1:4" x14ac:dyDescent="0.25">
      <c r="A343" s="18">
        <v>46225</v>
      </c>
      <c r="B343">
        <v>28411093.210000001</v>
      </c>
      <c r="C343">
        <v>271342.49200000003</v>
      </c>
      <c r="D343">
        <v>104.71</v>
      </c>
    </row>
    <row r="344" spans="1:4" x14ac:dyDescent="0.25">
      <c r="A344" s="18">
        <v>46226</v>
      </c>
      <c r="B344">
        <v>28215762.789999999</v>
      </c>
      <c r="C344">
        <v>271342.49200000003</v>
      </c>
      <c r="D344">
        <v>103.99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AF81D-9727-417A-95E7-1692867B8DB7}">
  <sheetPr codeName="Feuil4"/>
  <dimension ref="A1:E54"/>
  <sheetViews>
    <sheetView workbookViewId="0">
      <selection sqref="A1:E54"/>
    </sheetView>
  </sheetViews>
  <sheetFormatPr baseColWidth="10" defaultRowHeight="15" x14ac:dyDescent="0.25"/>
  <sheetData>
    <row r="1" spans="1:5" x14ac:dyDescent="0.25">
      <c r="A1" t="s">
        <v>246</v>
      </c>
      <c r="B1" t="s">
        <v>247</v>
      </c>
      <c r="C1" t="s">
        <v>248</v>
      </c>
      <c r="D1" t="s">
        <v>249</v>
      </c>
      <c r="E1" t="s">
        <v>250</v>
      </c>
    </row>
    <row r="2" spans="1:5" x14ac:dyDescent="0.25">
      <c r="A2" s="18">
        <v>45764</v>
      </c>
      <c r="B2" s="18">
        <v>45805</v>
      </c>
      <c r="C2" t="s">
        <v>40</v>
      </c>
      <c r="D2">
        <v>4705.47</v>
      </c>
      <c r="E2" t="s">
        <v>36</v>
      </c>
    </row>
    <row r="3" spans="1:5" x14ac:dyDescent="0.25">
      <c r="A3" s="18">
        <v>45769</v>
      </c>
      <c r="B3" s="18">
        <v>45770</v>
      </c>
      <c r="C3" t="s">
        <v>251</v>
      </c>
      <c r="D3">
        <v>2749.1</v>
      </c>
      <c r="E3" t="s">
        <v>21</v>
      </c>
    </row>
    <row r="4" spans="1:5" x14ac:dyDescent="0.25">
      <c r="A4" s="18">
        <v>45769</v>
      </c>
      <c r="B4" s="18">
        <v>45770</v>
      </c>
      <c r="C4" t="s">
        <v>252</v>
      </c>
      <c r="D4">
        <v>1265.1600000000001</v>
      </c>
      <c r="E4" t="s">
        <v>21</v>
      </c>
    </row>
    <row r="5" spans="1:5" x14ac:dyDescent="0.25">
      <c r="A5" s="18">
        <v>45783</v>
      </c>
      <c r="B5" s="18">
        <v>45784</v>
      </c>
      <c r="C5" t="s">
        <v>253</v>
      </c>
      <c r="D5">
        <v>15646.21</v>
      </c>
      <c r="E5" t="s">
        <v>21</v>
      </c>
    </row>
    <row r="6" spans="1:5" x14ac:dyDescent="0.25">
      <c r="A6" s="18">
        <v>45791</v>
      </c>
      <c r="B6" s="18">
        <v>45792</v>
      </c>
      <c r="C6" t="s">
        <v>254</v>
      </c>
      <c r="D6">
        <v>423.42</v>
      </c>
      <c r="E6" t="s">
        <v>21</v>
      </c>
    </row>
    <row r="7" spans="1:5" x14ac:dyDescent="0.25">
      <c r="A7" s="18">
        <v>45791</v>
      </c>
      <c r="B7" s="18">
        <v>45792</v>
      </c>
      <c r="C7" t="s">
        <v>46</v>
      </c>
      <c r="D7">
        <v>3150</v>
      </c>
      <c r="E7" t="s">
        <v>21</v>
      </c>
    </row>
    <row r="8" spans="1:5" x14ac:dyDescent="0.25">
      <c r="A8" s="18">
        <v>45793</v>
      </c>
      <c r="B8" s="18">
        <v>45796</v>
      </c>
      <c r="C8" t="s">
        <v>255</v>
      </c>
      <c r="D8">
        <v>1717.74</v>
      </c>
      <c r="E8" t="s">
        <v>21</v>
      </c>
    </row>
    <row r="9" spans="1:5" x14ac:dyDescent="0.25">
      <c r="A9" s="18">
        <v>45796</v>
      </c>
      <c r="B9" s="18">
        <v>45797</v>
      </c>
      <c r="C9" t="s">
        <v>256</v>
      </c>
      <c r="D9">
        <v>693</v>
      </c>
      <c r="E9" t="s">
        <v>21</v>
      </c>
    </row>
    <row r="10" spans="1:5" x14ac:dyDescent="0.25">
      <c r="A10" s="18">
        <v>45797</v>
      </c>
      <c r="B10" s="18">
        <v>45798</v>
      </c>
      <c r="C10" t="s">
        <v>257</v>
      </c>
      <c r="D10">
        <v>16139.95</v>
      </c>
      <c r="E10" t="s">
        <v>21</v>
      </c>
    </row>
    <row r="11" spans="1:5" x14ac:dyDescent="0.25">
      <c r="A11" s="18">
        <v>45803</v>
      </c>
      <c r="B11" s="18">
        <v>45804</v>
      </c>
      <c r="C11" t="s">
        <v>258</v>
      </c>
      <c r="D11">
        <v>7962</v>
      </c>
      <c r="E11" t="s">
        <v>21</v>
      </c>
    </row>
    <row r="12" spans="1:5" x14ac:dyDescent="0.25">
      <c r="A12" s="18">
        <v>45805</v>
      </c>
      <c r="B12" s="18">
        <v>45807</v>
      </c>
      <c r="C12" t="s">
        <v>259</v>
      </c>
      <c r="D12">
        <v>3329.2</v>
      </c>
      <c r="E12" t="s">
        <v>21</v>
      </c>
    </row>
    <row r="13" spans="1:5" x14ac:dyDescent="0.25">
      <c r="A13" s="18">
        <v>45800</v>
      </c>
      <c r="B13" s="18">
        <v>45861</v>
      </c>
      <c r="C13" t="s">
        <v>260</v>
      </c>
      <c r="D13">
        <v>1798.08</v>
      </c>
      <c r="E13" t="s">
        <v>21</v>
      </c>
    </row>
    <row r="14" spans="1:5" x14ac:dyDescent="0.25">
      <c r="A14" s="18">
        <v>45800</v>
      </c>
      <c r="B14" s="18">
        <v>45861</v>
      </c>
      <c r="C14" t="s">
        <v>48</v>
      </c>
      <c r="D14">
        <v>1057.83</v>
      </c>
      <c r="E14" t="s">
        <v>49</v>
      </c>
    </row>
    <row r="15" spans="1:5" x14ac:dyDescent="0.25">
      <c r="A15" s="18">
        <v>45839</v>
      </c>
      <c r="B15" s="18">
        <v>45841</v>
      </c>
      <c r="C15" t="s">
        <v>261</v>
      </c>
      <c r="D15">
        <v>9494.2000000000007</v>
      </c>
      <c r="E15" t="s">
        <v>21</v>
      </c>
    </row>
    <row r="16" spans="1:5" x14ac:dyDescent="0.25">
      <c r="A16" s="18">
        <v>45825</v>
      </c>
      <c r="B16" s="18">
        <v>45827</v>
      </c>
      <c r="C16" t="s">
        <v>262</v>
      </c>
      <c r="D16">
        <v>10466.68</v>
      </c>
      <c r="E16" t="s">
        <v>21</v>
      </c>
    </row>
    <row r="17" spans="1:5" x14ac:dyDescent="0.25">
      <c r="A17" s="18">
        <v>45818</v>
      </c>
      <c r="B17" s="18">
        <v>45824</v>
      </c>
      <c r="C17" t="s">
        <v>263</v>
      </c>
      <c r="D17">
        <v>99.37</v>
      </c>
      <c r="E17" t="s">
        <v>49</v>
      </c>
    </row>
    <row r="18" spans="1:5" x14ac:dyDescent="0.25">
      <c r="A18" s="18">
        <v>45876</v>
      </c>
      <c r="B18" s="18">
        <v>45919</v>
      </c>
      <c r="C18" t="s">
        <v>264</v>
      </c>
      <c r="D18">
        <v>3945.25</v>
      </c>
      <c r="E18" t="s">
        <v>21</v>
      </c>
    </row>
    <row r="19" spans="1:5" x14ac:dyDescent="0.25">
      <c r="A19" s="18">
        <v>45883</v>
      </c>
      <c r="B19" s="18">
        <v>45916</v>
      </c>
      <c r="C19" t="s">
        <v>40</v>
      </c>
      <c r="D19">
        <v>2183.4699999999998</v>
      </c>
      <c r="E19" t="s">
        <v>36</v>
      </c>
    </row>
    <row r="20" spans="1:5" x14ac:dyDescent="0.25">
      <c r="A20" s="18">
        <v>45894</v>
      </c>
      <c r="B20" s="18">
        <v>45924</v>
      </c>
      <c r="C20" t="s">
        <v>48</v>
      </c>
      <c r="D20">
        <v>1548.84</v>
      </c>
      <c r="E20" t="s">
        <v>21</v>
      </c>
    </row>
    <row r="21" spans="1:5" x14ac:dyDescent="0.25">
      <c r="A21" s="18">
        <v>45898</v>
      </c>
      <c r="B21" s="18">
        <v>45915</v>
      </c>
      <c r="C21" t="s">
        <v>265</v>
      </c>
      <c r="D21">
        <v>1194.6400000000001</v>
      </c>
      <c r="E21" t="s">
        <v>49</v>
      </c>
    </row>
    <row r="22" spans="1:5" x14ac:dyDescent="0.25">
      <c r="A22" s="18">
        <v>45915</v>
      </c>
      <c r="B22" s="18">
        <v>45930</v>
      </c>
      <c r="C22" t="s">
        <v>266</v>
      </c>
      <c r="D22">
        <v>517.65</v>
      </c>
      <c r="E22" t="s">
        <v>49</v>
      </c>
    </row>
    <row r="23" spans="1:5" x14ac:dyDescent="0.25">
      <c r="A23" s="18">
        <v>45916</v>
      </c>
      <c r="B23" s="18">
        <v>45918</v>
      </c>
      <c r="C23" t="s">
        <v>46</v>
      </c>
      <c r="D23">
        <v>4477.2</v>
      </c>
      <c r="E23" t="s">
        <v>21</v>
      </c>
    </row>
    <row r="24" spans="1:5" x14ac:dyDescent="0.25">
      <c r="A24" s="18">
        <v>45937</v>
      </c>
      <c r="B24" s="18">
        <v>45939</v>
      </c>
      <c r="C24" t="s">
        <v>267</v>
      </c>
      <c r="D24">
        <v>3074.7</v>
      </c>
      <c r="E24" t="s">
        <v>21</v>
      </c>
    </row>
    <row r="25" spans="1:5" x14ac:dyDescent="0.25">
      <c r="A25" s="18">
        <v>45952</v>
      </c>
      <c r="B25" s="18">
        <v>45954</v>
      </c>
      <c r="C25" t="s">
        <v>268</v>
      </c>
      <c r="D25">
        <v>25617</v>
      </c>
      <c r="E25" t="s">
        <v>162</v>
      </c>
    </row>
    <row r="26" spans="1:5" x14ac:dyDescent="0.25">
      <c r="A26" s="18">
        <v>45954</v>
      </c>
      <c r="B26" s="18">
        <v>45971</v>
      </c>
      <c r="C26" t="s">
        <v>269</v>
      </c>
      <c r="D26">
        <v>674.14</v>
      </c>
      <c r="E26" t="s">
        <v>21</v>
      </c>
    </row>
    <row r="27" spans="1:5" x14ac:dyDescent="0.25">
      <c r="A27" s="18">
        <v>45961</v>
      </c>
      <c r="B27" s="19" t="s">
        <v>270</v>
      </c>
      <c r="C27" t="s">
        <v>271</v>
      </c>
      <c r="D27">
        <v>2771.77</v>
      </c>
      <c r="E27" t="s">
        <v>21</v>
      </c>
    </row>
    <row r="28" spans="1:5" x14ac:dyDescent="0.25">
      <c r="A28" s="18">
        <v>45987</v>
      </c>
      <c r="B28" s="18">
        <v>45994</v>
      </c>
      <c r="C28" t="s">
        <v>272</v>
      </c>
      <c r="D28">
        <v>3910.78</v>
      </c>
      <c r="E28" t="s">
        <v>36</v>
      </c>
    </row>
    <row r="29" spans="1:5" x14ac:dyDescent="0.25">
      <c r="A29" s="18">
        <v>46036</v>
      </c>
      <c r="B29" s="18">
        <v>46038</v>
      </c>
      <c r="C29" t="s">
        <v>273</v>
      </c>
      <c r="D29">
        <v>616.25</v>
      </c>
      <c r="E29" t="s">
        <v>21</v>
      </c>
    </row>
    <row r="30" spans="1:5" x14ac:dyDescent="0.25">
      <c r="A30" s="18">
        <v>46069</v>
      </c>
      <c r="B30" s="18">
        <v>46080</v>
      </c>
      <c r="C30" s="20" t="s">
        <v>65</v>
      </c>
      <c r="D30">
        <v>108.28</v>
      </c>
      <c r="E30" t="s">
        <v>49</v>
      </c>
    </row>
    <row r="31" spans="1:5" x14ac:dyDescent="0.25">
      <c r="A31" s="18">
        <v>46080</v>
      </c>
      <c r="B31" s="18">
        <v>46085</v>
      </c>
      <c r="C31" t="s">
        <v>94</v>
      </c>
      <c r="D31">
        <v>1323.88</v>
      </c>
      <c r="E31" t="s">
        <v>21</v>
      </c>
    </row>
    <row r="32" spans="1:5" x14ac:dyDescent="0.25">
      <c r="A32" s="18">
        <v>46085</v>
      </c>
      <c r="B32" s="18">
        <v>46107</v>
      </c>
      <c r="C32" t="s">
        <v>69</v>
      </c>
      <c r="D32">
        <v>543.01</v>
      </c>
      <c r="E32" t="s">
        <v>49</v>
      </c>
    </row>
    <row r="33" spans="1:5" x14ac:dyDescent="0.25">
      <c r="A33" s="18">
        <v>46090</v>
      </c>
      <c r="B33" s="18">
        <v>46096</v>
      </c>
      <c r="C33" t="s">
        <v>48</v>
      </c>
      <c r="D33">
        <v>2396.2199999999998</v>
      </c>
      <c r="E33" t="s">
        <v>36</v>
      </c>
    </row>
    <row r="34" spans="1:5" x14ac:dyDescent="0.25">
      <c r="A34" s="18">
        <v>46090</v>
      </c>
      <c r="B34" s="18">
        <v>46097</v>
      </c>
      <c r="C34" t="s">
        <v>274</v>
      </c>
      <c r="D34">
        <v>9348.2999999999993</v>
      </c>
      <c r="E34" t="s">
        <v>21</v>
      </c>
    </row>
    <row r="35" spans="1:5" x14ac:dyDescent="0.25">
      <c r="A35" s="18">
        <v>46090</v>
      </c>
      <c r="B35" s="18">
        <v>46091</v>
      </c>
      <c r="C35" t="s">
        <v>275</v>
      </c>
      <c r="D35">
        <v>247.75</v>
      </c>
      <c r="E35" t="s">
        <v>49</v>
      </c>
    </row>
    <row r="36" spans="1:5" x14ac:dyDescent="0.25">
      <c r="A36" s="18">
        <v>46113</v>
      </c>
      <c r="B36" s="18">
        <v>46120</v>
      </c>
      <c r="C36" s="20" t="s">
        <v>276</v>
      </c>
      <c r="D36">
        <v>6105.44</v>
      </c>
      <c r="E36" t="s">
        <v>21</v>
      </c>
    </row>
    <row r="37" spans="1:5" x14ac:dyDescent="0.25">
      <c r="A37" s="18">
        <v>46113</v>
      </c>
      <c r="B37" s="18">
        <v>46120</v>
      </c>
      <c r="C37" s="20" t="s">
        <v>31</v>
      </c>
      <c r="D37">
        <v>2856</v>
      </c>
      <c r="E37" t="s">
        <v>21</v>
      </c>
    </row>
    <row r="38" spans="1:5" x14ac:dyDescent="0.25">
      <c r="A38" s="18">
        <v>46120</v>
      </c>
      <c r="B38" s="19">
        <v>46125</v>
      </c>
      <c r="C38" s="20" t="s">
        <v>75</v>
      </c>
      <c r="D38">
        <v>4512.0600000000004</v>
      </c>
      <c r="E38" t="s">
        <v>36</v>
      </c>
    </row>
    <row r="39" spans="1:5" x14ac:dyDescent="0.25">
      <c r="A39" s="18">
        <v>46120</v>
      </c>
      <c r="B39" s="18">
        <v>46126</v>
      </c>
      <c r="C39" s="20" t="s">
        <v>277</v>
      </c>
      <c r="D39">
        <v>1250.52</v>
      </c>
      <c r="E39" t="s">
        <v>157</v>
      </c>
    </row>
    <row r="40" spans="1:5" x14ac:dyDescent="0.25">
      <c r="A40" s="18">
        <v>46122</v>
      </c>
      <c r="B40" s="18">
        <v>46129</v>
      </c>
      <c r="C40" s="20" t="s">
        <v>278</v>
      </c>
      <c r="D40">
        <v>1095.2</v>
      </c>
      <c r="E40" t="s">
        <v>21</v>
      </c>
    </row>
    <row r="41" spans="1:5" x14ac:dyDescent="0.25">
      <c r="A41" s="18">
        <v>46133</v>
      </c>
      <c r="B41" s="18">
        <v>46139</v>
      </c>
      <c r="C41" s="20" t="s">
        <v>279</v>
      </c>
      <c r="D41">
        <v>1683</v>
      </c>
      <c r="E41" t="s">
        <v>36</v>
      </c>
    </row>
    <row r="42" spans="1:5" x14ac:dyDescent="0.25">
      <c r="A42" s="18">
        <v>46134</v>
      </c>
      <c r="B42" s="18">
        <v>46135</v>
      </c>
      <c r="C42" s="20" t="s">
        <v>86</v>
      </c>
      <c r="D42">
        <v>5504.51</v>
      </c>
      <c r="E42" t="s">
        <v>82</v>
      </c>
    </row>
    <row r="43" spans="1:5" x14ac:dyDescent="0.25">
      <c r="A43" s="18">
        <v>46134</v>
      </c>
      <c r="B43" s="18">
        <v>46146</v>
      </c>
      <c r="C43" s="20" t="s">
        <v>251</v>
      </c>
      <c r="D43">
        <v>17948.8</v>
      </c>
      <c r="E43" t="s">
        <v>21</v>
      </c>
    </row>
    <row r="44" spans="1:5" x14ac:dyDescent="0.25">
      <c r="A44" s="18">
        <v>46136</v>
      </c>
      <c r="B44" s="18">
        <v>46147</v>
      </c>
      <c r="C44" s="20" t="s">
        <v>280</v>
      </c>
      <c r="D44">
        <v>419.99</v>
      </c>
      <c r="E44" t="s">
        <v>21</v>
      </c>
    </row>
    <row r="45" spans="1:5" x14ac:dyDescent="0.25">
      <c r="A45" s="18">
        <v>46136</v>
      </c>
      <c r="B45" s="18">
        <v>46148</v>
      </c>
      <c r="C45" s="20" t="s">
        <v>57</v>
      </c>
      <c r="D45">
        <v>8809.84</v>
      </c>
      <c r="E45" t="s">
        <v>21</v>
      </c>
    </row>
    <row r="46" spans="1:5" x14ac:dyDescent="0.25">
      <c r="A46" s="18">
        <v>46141</v>
      </c>
      <c r="B46" s="18">
        <v>46149</v>
      </c>
      <c r="C46" s="20" t="s">
        <v>281</v>
      </c>
      <c r="D46">
        <v>5649</v>
      </c>
      <c r="E46" t="s">
        <v>21</v>
      </c>
    </row>
    <row r="47" spans="1:5" x14ac:dyDescent="0.25">
      <c r="A47" s="18">
        <v>46141</v>
      </c>
      <c r="B47" s="18">
        <v>46146</v>
      </c>
      <c r="C47" s="20" t="s">
        <v>40</v>
      </c>
      <c r="D47">
        <v>6214.45</v>
      </c>
      <c r="E47" t="s">
        <v>36</v>
      </c>
    </row>
    <row r="48" spans="1:5" x14ac:dyDescent="0.25">
      <c r="A48" s="18">
        <v>46181</v>
      </c>
      <c r="B48" s="18">
        <v>46147</v>
      </c>
      <c r="C48" s="20" t="s">
        <v>263</v>
      </c>
      <c r="D48">
        <v>104</v>
      </c>
      <c r="E48" t="s">
        <v>49</v>
      </c>
    </row>
    <row r="49" spans="1:5" x14ac:dyDescent="0.25">
      <c r="A49" s="18">
        <v>46181</v>
      </c>
      <c r="B49" s="18">
        <v>46148</v>
      </c>
      <c r="C49" s="20" t="s">
        <v>282</v>
      </c>
      <c r="D49">
        <v>4462</v>
      </c>
      <c r="E49" t="s">
        <v>21</v>
      </c>
    </row>
    <row r="50" spans="1:5" x14ac:dyDescent="0.25">
      <c r="A50" s="18">
        <v>46191</v>
      </c>
      <c r="C50" s="20" t="s">
        <v>273</v>
      </c>
      <c r="D50">
        <v>481</v>
      </c>
      <c r="E50" t="s">
        <v>21</v>
      </c>
    </row>
    <row r="51" spans="1:5" x14ac:dyDescent="0.25">
      <c r="A51" s="18">
        <v>46191</v>
      </c>
      <c r="C51" s="20" t="s">
        <v>44</v>
      </c>
      <c r="D51">
        <v>3063</v>
      </c>
      <c r="E51" t="s">
        <v>36</v>
      </c>
    </row>
    <row r="52" spans="1:5" x14ac:dyDescent="0.25">
      <c r="A52" s="18">
        <v>46191</v>
      </c>
      <c r="C52" s="20" t="s">
        <v>48</v>
      </c>
      <c r="D52">
        <v>2678</v>
      </c>
      <c r="E52" t="s">
        <v>49</v>
      </c>
    </row>
    <row r="53" spans="1:5" x14ac:dyDescent="0.25">
      <c r="A53" s="18">
        <v>46192</v>
      </c>
      <c r="C53" s="20" t="s">
        <v>57</v>
      </c>
      <c r="D53">
        <v>2672</v>
      </c>
      <c r="E53" t="s">
        <v>21</v>
      </c>
    </row>
    <row r="54" spans="1:5" x14ac:dyDescent="0.25">
      <c r="A54" s="18">
        <v>46193</v>
      </c>
      <c r="C54" s="20" t="s">
        <v>69</v>
      </c>
      <c r="D54">
        <v>419</v>
      </c>
      <c r="E54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6A150-D068-4EFE-B329-53086C0B567C}">
  <sheetPr codeName="Feuil5"/>
  <dimension ref="A3:N2053"/>
  <sheetViews>
    <sheetView topLeftCell="A2" workbookViewId="0">
      <selection activeCell="M3" sqref="M3:M2053"/>
    </sheetView>
  </sheetViews>
  <sheetFormatPr baseColWidth="10" defaultRowHeight="15" x14ac:dyDescent="0.25"/>
  <sheetData>
    <row r="3" spans="1:14" x14ac:dyDescent="0.25">
      <c r="A3" t="s">
        <v>243</v>
      </c>
      <c r="B3" t="s">
        <v>283</v>
      </c>
      <c r="C3" t="s">
        <v>284</v>
      </c>
      <c r="D3" t="s">
        <v>7</v>
      </c>
      <c r="E3" t="s">
        <v>8</v>
      </c>
      <c r="F3" t="s">
        <v>9</v>
      </c>
      <c r="G3" t="s">
        <v>10</v>
      </c>
      <c r="H3" t="s">
        <v>12</v>
      </c>
      <c r="I3" t="s">
        <v>285</v>
      </c>
      <c r="J3" t="s">
        <v>286</v>
      </c>
      <c r="K3" t="s">
        <v>287</v>
      </c>
      <c r="L3" t="s">
        <v>288</v>
      </c>
      <c r="M3" t="s">
        <v>7</v>
      </c>
      <c r="N3" t="s">
        <v>284</v>
      </c>
    </row>
    <row r="4" spans="1:14" x14ac:dyDescent="0.25">
      <c r="A4" s="18">
        <v>45734</v>
      </c>
      <c r="B4" t="s">
        <v>289</v>
      </c>
      <c r="C4" t="s">
        <v>290</v>
      </c>
      <c r="D4" t="s">
        <v>45</v>
      </c>
      <c r="E4" t="s">
        <v>46</v>
      </c>
      <c r="F4" t="s">
        <v>21</v>
      </c>
      <c r="G4">
        <v>5000</v>
      </c>
      <c r="H4">
        <v>40.76</v>
      </c>
      <c r="I4">
        <v>-203800</v>
      </c>
      <c r="J4">
        <v>737.92</v>
      </c>
      <c r="K4">
        <v>40.907584</v>
      </c>
      <c r="L4">
        <v>-204537.92</v>
      </c>
      <c r="M4" t="s">
        <v>45</v>
      </c>
      <c r="N4" t="s">
        <v>290</v>
      </c>
    </row>
    <row r="5" spans="1:14" x14ac:dyDescent="0.25">
      <c r="A5" s="18">
        <v>45734</v>
      </c>
      <c r="B5" t="s">
        <v>289</v>
      </c>
      <c r="C5" t="s">
        <v>291</v>
      </c>
      <c r="D5" t="s">
        <v>292</v>
      </c>
      <c r="E5" t="s">
        <v>293</v>
      </c>
      <c r="F5" t="s">
        <v>21</v>
      </c>
      <c r="G5">
        <v>136054</v>
      </c>
      <c r="H5">
        <v>1.4664999999999999</v>
      </c>
      <c r="I5">
        <v>-199523.19099999999</v>
      </c>
      <c r="J5">
        <v>124.81</v>
      </c>
      <c r="K5">
        <v>1.4674173563438047</v>
      </c>
      <c r="L5">
        <v>-199648.00099999999</v>
      </c>
      <c r="M5" t="s">
        <v>292</v>
      </c>
      <c r="N5" t="s">
        <v>291</v>
      </c>
    </row>
    <row r="6" spans="1:14" x14ac:dyDescent="0.25">
      <c r="A6" s="18">
        <v>45734</v>
      </c>
      <c r="B6" t="s">
        <v>289</v>
      </c>
      <c r="C6" t="s">
        <v>294</v>
      </c>
      <c r="D6" t="s">
        <v>80</v>
      </c>
      <c r="E6" t="s">
        <v>295</v>
      </c>
      <c r="F6" t="s">
        <v>82</v>
      </c>
      <c r="G6">
        <v>1915</v>
      </c>
      <c r="H6">
        <v>100.5</v>
      </c>
      <c r="I6">
        <v>-192457.5</v>
      </c>
      <c r="J6">
        <v>120.09</v>
      </c>
      <c r="K6">
        <v>100.56271018276762</v>
      </c>
      <c r="L6">
        <v>-192577.59</v>
      </c>
      <c r="M6" t="s">
        <v>80</v>
      </c>
      <c r="N6" t="s">
        <v>294</v>
      </c>
    </row>
    <row r="7" spans="1:14" x14ac:dyDescent="0.25">
      <c r="A7" s="18">
        <v>45735</v>
      </c>
      <c r="B7" t="s">
        <v>289</v>
      </c>
      <c r="C7" t="s">
        <v>296</v>
      </c>
      <c r="D7" t="s">
        <v>122</v>
      </c>
      <c r="E7" t="s">
        <v>297</v>
      </c>
      <c r="F7" t="s">
        <v>21</v>
      </c>
      <c r="G7">
        <v>319</v>
      </c>
      <c r="H7">
        <v>179</v>
      </c>
      <c r="I7">
        <v>-57101</v>
      </c>
      <c r="J7">
        <v>45</v>
      </c>
      <c r="K7">
        <v>179.141065830721</v>
      </c>
      <c r="L7">
        <v>-57146</v>
      </c>
      <c r="M7" t="s">
        <v>122</v>
      </c>
      <c r="N7" t="s">
        <v>296</v>
      </c>
    </row>
    <row r="8" spans="1:14" x14ac:dyDescent="0.25">
      <c r="A8" s="18">
        <v>45735</v>
      </c>
      <c r="B8" t="s">
        <v>289</v>
      </c>
      <c r="C8" t="s">
        <v>298</v>
      </c>
      <c r="D8" t="s">
        <v>299</v>
      </c>
      <c r="E8" t="s">
        <v>300</v>
      </c>
      <c r="F8" t="s">
        <v>21</v>
      </c>
      <c r="G8">
        <v>122357</v>
      </c>
      <c r="H8">
        <v>3.0419999999999998</v>
      </c>
      <c r="I8">
        <v>-372209.99400000001</v>
      </c>
      <c r="J8">
        <v>156.66</v>
      </c>
      <c r="K8">
        <v>3.0432803517575615</v>
      </c>
      <c r="L8">
        <v>-372366.65399999998</v>
      </c>
      <c r="M8" t="s">
        <v>299</v>
      </c>
      <c r="N8" t="s">
        <v>298</v>
      </c>
    </row>
    <row r="9" spans="1:14" x14ac:dyDescent="0.25">
      <c r="A9" s="18">
        <v>45735</v>
      </c>
      <c r="B9" t="s">
        <v>289</v>
      </c>
      <c r="C9" t="s">
        <v>301</v>
      </c>
      <c r="D9" t="s">
        <v>120</v>
      </c>
      <c r="E9" t="s">
        <v>302</v>
      </c>
      <c r="F9" t="s">
        <v>21</v>
      </c>
      <c r="G9">
        <v>224</v>
      </c>
      <c r="H9">
        <v>256.25</v>
      </c>
      <c r="I9">
        <v>-57400</v>
      </c>
      <c r="J9">
        <v>45</v>
      </c>
      <c r="K9">
        <v>256.45089285714283</v>
      </c>
      <c r="L9">
        <v>-57445</v>
      </c>
      <c r="M9" t="s">
        <v>120</v>
      </c>
      <c r="N9" t="s">
        <v>301</v>
      </c>
    </row>
    <row r="10" spans="1:14" x14ac:dyDescent="0.25">
      <c r="A10" s="18">
        <v>45735</v>
      </c>
      <c r="B10" t="s">
        <v>289</v>
      </c>
      <c r="C10" t="s">
        <v>303</v>
      </c>
      <c r="D10" t="s">
        <v>304</v>
      </c>
      <c r="E10" t="s">
        <v>305</v>
      </c>
      <c r="F10" t="s">
        <v>21</v>
      </c>
      <c r="G10">
        <v>368000</v>
      </c>
      <c r="H10">
        <v>101.96173913043478</v>
      </c>
      <c r="I10">
        <v>-375219.20000000001</v>
      </c>
      <c r="J10">
        <v>45</v>
      </c>
      <c r="K10">
        <v>101.96173913043478</v>
      </c>
      <c r="L10">
        <v>-375219.20000000001</v>
      </c>
      <c r="M10" t="s">
        <v>304</v>
      </c>
      <c r="N10" t="s">
        <v>303</v>
      </c>
    </row>
    <row r="11" spans="1:14" x14ac:dyDescent="0.25">
      <c r="A11" s="18">
        <v>45736</v>
      </c>
      <c r="B11" t="s">
        <v>289</v>
      </c>
      <c r="C11" t="s">
        <v>306</v>
      </c>
      <c r="D11" t="s">
        <v>112</v>
      </c>
      <c r="E11" t="s">
        <v>307</v>
      </c>
      <c r="F11" t="s">
        <v>21</v>
      </c>
      <c r="G11">
        <v>903</v>
      </c>
      <c r="H11">
        <v>126.23</v>
      </c>
      <c r="I11">
        <v>-113985.69</v>
      </c>
      <c r="J11">
        <v>50</v>
      </c>
      <c r="K11">
        <v>126.28537098560355</v>
      </c>
      <c r="L11">
        <v>-114035.69</v>
      </c>
      <c r="M11" t="s">
        <v>112</v>
      </c>
      <c r="N11" t="s">
        <v>306</v>
      </c>
    </row>
    <row r="12" spans="1:14" x14ac:dyDescent="0.25">
      <c r="A12" s="18">
        <v>45742</v>
      </c>
      <c r="B12" t="s">
        <v>289</v>
      </c>
      <c r="C12" t="s">
        <v>308</v>
      </c>
      <c r="D12" t="s">
        <v>309</v>
      </c>
      <c r="E12" t="s">
        <v>310</v>
      </c>
      <c r="F12" t="s">
        <v>21</v>
      </c>
      <c r="G12">
        <v>2186</v>
      </c>
      <c r="H12">
        <v>18.309999999999999</v>
      </c>
      <c r="I12">
        <v>-40025.659999999996</v>
      </c>
      <c r="J12">
        <v>181.09</v>
      </c>
      <c r="K12">
        <v>18.392840805123509</v>
      </c>
      <c r="L12">
        <v>-40206.749999999993</v>
      </c>
      <c r="M12" t="s">
        <v>309</v>
      </c>
      <c r="N12" t="s">
        <v>308</v>
      </c>
    </row>
    <row r="13" spans="1:14" x14ac:dyDescent="0.25">
      <c r="A13" s="18">
        <v>45742</v>
      </c>
      <c r="B13" t="s">
        <v>289</v>
      </c>
      <c r="C13" t="s">
        <v>311</v>
      </c>
      <c r="D13" t="s">
        <v>312</v>
      </c>
      <c r="E13" t="s">
        <v>313</v>
      </c>
      <c r="F13" t="s">
        <v>21</v>
      </c>
      <c r="G13">
        <v>160</v>
      </c>
      <c r="H13">
        <v>250.8</v>
      </c>
      <c r="I13">
        <v>-40128</v>
      </c>
      <c r="J13">
        <v>181.43</v>
      </c>
      <c r="K13">
        <v>251.93393750000001</v>
      </c>
      <c r="L13">
        <v>-40309.43</v>
      </c>
      <c r="M13" t="s">
        <v>312</v>
      </c>
      <c r="N13" t="s">
        <v>311</v>
      </c>
    </row>
    <row r="14" spans="1:14" x14ac:dyDescent="0.25">
      <c r="A14" s="18">
        <v>45742</v>
      </c>
      <c r="B14" t="s">
        <v>289</v>
      </c>
      <c r="C14" t="s">
        <v>314</v>
      </c>
      <c r="D14" t="s">
        <v>315</v>
      </c>
      <c r="E14" t="s">
        <v>264</v>
      </c>
      <c r="F14" t="s">
        <v>21</v>
      </c>
      <c r="G14">
        <v>1996</v>
      </c>
      <c r="H14">
        <v>20.05</v>
      </c>
      <c r="I14">
        <v>-40019.800000000003</v>
      </c>
      <c r="J14">
        <v>462.46</v>
      </c>
      <c r="K14">
        <v>20.281693386773547</v>
      </c>
      <c r="L14">
        <v>-40482.26</v>
      </c>
      <c r="M14" t="s">
        <v>315</v>
      </c>
      <c r="N14" t="s">
        <v>314</v>
      </c>
    </row>
    <row r="15" spans="1:14" x14ac:dyDescent="0.25">
      <c r="A15" s="18">
        <v>45742</v>
      </c>
      <c r="B15" t="s">
        <v>289</v>
      </c>
      <c r="C15" t="s">
        <v>316</v>
      </c>
      <c r="D15" t="s">
        <v>317</v>
      </c>
      <c r="E15" t="s">
        <v>274</v>
      </c>
      <c r="F15" t="s">
        <v>21</v>
      </c>
      <c r="G15">
        <v>767</v>
      </c>
      <c r="H15">
        <v>52.36</v>
      </c>
      <c r="I15">
        <v>-40160.120000000003</v>
      </c>
      <c r="J15">
        <v>61.06</v>
      </c>
      <c r="K15">
        <v>52.439608865710561</v>
      </c>
      <c r="L15">
        <v>-40221.18</v>
      </c>
      <c r="M15" t="s">
        <v>317</v>
      </c>
      <c r="N15" t="s">
        <v>316</v>
      </c>
    </row>
    <row r="16" spans="1:14" x14ac:dyDescent="0.25">
      <c r="A16" s="18">
        <v>45742</v>
      </c>
      <c r="B16" t="s">
        <v>289</v>
      </c>
      <c r="C16" t="s">
        <v>318</v>
      </c>
      <c r="D16" t="s">
        <v>22</v>
      </c>
      <c r="E16" t="s">
        <v>23</v>
      </c>
      <c r="F16" t="s">
        <v>21</v>
      </c>
      <c r="G16">
        <v>6250</v>
      </c>
      <c r="H16">
        <v>32.26</v>
      </c>
      <c r="I16">
        <v>-201625</v>
      </c>
      <c r="J16">
        <v>730.53</v>
      </c>
      <c r="K16">
        <v>32.376884799999999</v>
      </c>
      <c r="L16">
        <v>-202355.53</v>
      </c>
      <c r="M16" t="s">
        <v>22</v>
      </c>
      <c r="N16" t="s">
        <v>318</v>
      </c>
    </row>
    <row r="17" spans="1:14" x14ac:dyDescent="0.25">
      <c r="A17" s="18">
        <v>45742</v>
      </c>
      <c r="B17" t="s">
        <v>319</v>
      </c>
      <c r="C17" t="s">
        <v>294</v>
      </c>
      <c r="D17" t="s">
        <v>80</v>
      </c>
      <c r="E17" t="s">
        <v>295</v>
      </c>
      <c r="F17" t="s">
        <v>82</v>
      </c>
      <c r="G17">
        <v>-1915</v>
      </c>
      <c r="H17">
        <v>100.65</v>
      </c>
      <c r="I17">
        <v>192744.75</v>
      </c>
      <c r="J17">
        <v>119.94</v>
      </c>
      <c r="K17">
        <v>100.5873681462141</v>
      </c>
      <c r="L17">
        <v>192624.81</v>
      </c>
      <c r="M17" t="s">
        <v>80</v>
      </c>
      <c r="N17" t="s">
        <v>294</v>
      </c>
    </row>
    <row r="18" spans="1:14" x14ac:dyDescent="0.25">
      <c r="A18" s="18">
        <v>45743</v>
      </c>
      <c r="B18" t="s">
        <v>289</v>
      </c>
      <c r="C18" t="s">
        <v>320</v>
      </c>
      <c r="D18" t="s">
        <v>321</v>
      </c>
      <c r="E18" t="s">
        <v>322</v>
      </c>
      <c r="F18" t="s">
        <v>36</v>
      </c>
      <c r="G18">
        <v>4810</v>
      </c>
      <c r="H18">
        <v>6.95</v>
      </c>
      <c r="I18">
        <v>-33429.5</v>
      </c>
      <c r="J18">
        <v>239.61</v>
      </c>
      <c r="K18">
        <v>6.9998149688149693</v>
      </c>
      <c r="L18">
        <v>-33669.11</v>
      </c>
      <c r="M18" t="s">
        <v>321</v>
      </c>
      <c r="N18" t="s">
        <v>320</v>
      </c>
    </row>
    <row r="19" spans="1:14" x14ac:dyDescent="0.25">
      <c r="A19" s="18">
        <v>45750</v>
      </c>
      <c r="B19" t="s">
        <v>319</v>
      </c>
      <c r="C19" t="s">
        <v>316</v>
      </c>
      <c r="D19" t="s">
        <v>317</v>
      </c>
      <c r="E19" t="s">
        <v>274</v>
      </c>
      <c r="F19" t="s">
        <v>21</v>
      </c>
      <c r="G19">
        <v>-767</v>
      </c>
      <c r="H19">
        <v>50.363700000000001</v>
      </c>
      <c r="I19">
        <v>38628.957900000001</v>
      </c>
      <c r="J19">
        <v>122.26</v>
      </c>
      <c r="K19">
        <v>50.204299739243808</v>
      </c>
      <c r="L19">
        <v>38506.697899999999</v>
      </c>
      <c r="M19" t="s">
        <v>317</v>
      </c>
      <c r="N19" t="s">
        <v>316</v>
      </c>
    </row>
    <row r="20" spans="1:14" x14ac:dyDescent="0.25">
      <c r="A20" s="18">
        <v>45750</v>
      </c>
      <c r="B20" t="s">
        <v>289</v>
      </c>
      <c r="C20" t="s">
        <v>323</v>
      </c>
      <c r="D20" t="s">
        <v>39</v>
      </c>
      <c r="E20" t="s">
        <v>324</v>
      </c>
      <c r="F20" t="s">
        <v>36</v>
      </c>
      <c r="G20">
        <v>9130</v>
      </c>
      <c r="H20">
        <v>9.2050000000000001</v>
      </c>
      <c r="I20">
        <v>-84041.65</v>
      </c>
      <c r="J20">
        <v>493.41</v>
      </c>
      <c r="K20">
        <v>9.2590427163198239</v>
      </c>
      <c r="L20">
        <v>-84535.06</v>
      </c>
      <c r="M20" t="s">
        <v>39</v>
      </c>
      <c r="N20" t="s">
        <v>323</v>
      </c>
    </row>
    <row r="21" spans="1:14" x14ac:dyDescent="0.25">
      <c r="A21" s="18">
        <v>45750</v>
      </c>
      <c r="B21" t="s">
        <v>289</v>
      </c>
      <c r="C21" t="s">
        <v>325</v>
      </c>
      <c r="D21" t="s">
        <v>47</v>
      </c>
      <c r="E21" t="s">
        <v>48</v>
      </c>
      <c r="F21" t="s">
        <v>36</v>
      </c>
      <c r="G21">
        <v>499</v>
      </c>
      <c r="H21">
        <v>65.59</v>
      </c>
      <c r="I21">
        <v>-32729.410000000003</v>
      </c>
      <c r="J21">
        <v>379.96</v>
      </c>
      <c r="K21">
        <v>66.351442885771547</v>
      </c>
      <c r="L21">
        <v>-33109.370000000003</v>
      </c>
      <c r="M21" t="s">
        <v>47</v>
      </c>
      <c r="N21" t="s">
        <v>325</v>
      </c>
    </row>
    <row r="22" spans="1:14" x14ac:dyDescent="0.25">
      <c r="A22" s="18">
        <v>45754</v>
      </c>
      <c r="B22" t="s">
        <v>289</v>
      </c>
      <c r="C22" t="s">
        <v>326</v>
      </c>
      <c r="D22" t="s">
        <v>327</v>
      </c>
      <c r="E22" t="s">
        <v>251</v>
      </c>
      <c r="F22" t="s">
        <v>21</v>
      </c>
      <c r="G22">
        <v>743</v>
      </c>
      <c r="H22">
        <v>107.85</v>
      </c>
      <c r="I22">
        <v>-80132.55</v>
      </c>
      <c r="J22">
        <v>397.58</v>
      </c>
      <c r="K22">
        <v>108.38510094212653</v>
      </c>
      <c r="L22">
        <v>-80530.13</v>
      </c>
      <c r="M22" t="s">
        <v>327</v>
      </c>
      <c r="N22" t="s">
        <v>326</v>
      </c>
    </row>
    <row r="23" spans="1:14" x14ac:dyDescent="0.25">
      <c r="A23" s="18">
        <v>45754</v>
      </c>
      <c r="B23" t="s">
        <v>289</v>
      </c>
      <c r="C23" t="s">
        <v>311</v>
      </c>
      <c r="D23" t="s">
        <v>312</v>
      </c>
      <c r="E23" t="s">
        <v>313</v>
      </c>
      <c r="F23" t="s">
        <v>21</v>
      </c>
      <c r="G23">
        <v>296</v>
      </c>
      <c r="H23">
        <v>203.45</v>
      </c>
      <c r="I23">
        <v>-60221.2</v>
      </c>
      <c r="J23">
        <v>309.97000000000003</v>
      </c>
      <c r="K23">
        <v>204.49719594594595</v>
      </c>
      <c r="L23">
        <v>-60531.17</v>
      </c>
      <c r="M23" t="s">
        <v>312</v>
      </c>
      <c r="N23" t="s">
        <v>311</v>
      </c>
    </row>
    <row r="24" spans="1:14" x14ac:dyDescent="0.25">
      <c r="A24" s="18">
        <v>45754</v>
      </c>
      <c r="B24" t="s">
        <v>289</v>
      </c>
      <c r="C24" t="s">
        <v>314</v>
      </c>
      <c r="D24" t="s">
        <v>315</v>
      </c>
      <c r="E24" t="s">
        <v>264</v>
      </c>
      <c r="F24" t="s">
        <v>21</v>
      </c>
      <c r="G24">
        <v>1740</v>
      </c>
      <c r="H24">
        <v>17.260000000000002</v>
      </c>
      <c r="I24">
        <v>-30032.400000000001</v>
      </c>
      <c r="J24">
        <v>358.58</v>
      </c>
      <c r="K24">
        <v>17.466080459770115</v>
      </c>
      <c r="L24">
        <v>-30390.980000000003</v>
      </c>
      <c r="M24" t="s">
        <v>315</v>
      </c>
      <c r="N24" t="s">
        <v>314</v>
      </c>
    </row>
    <row r="25" spans="1:14" x14ac:dyDescent="0.25">
      <c r="A25" s="18">
        <v>45754</v>
      </c>
      <c r="B25" t="s">
        <v>289</v>
      </c>
      <c r="C25" t="s">
        <v>328</v>
      </c>
      <c r="D25" t="s">
        <v>329</v>
      </c>
      <c r="E25" t="s">
        <v>330</v>
      </c>
      <c r="F25" t="s">
        <v>21</v>
      </c>
      <c r="G25">
        <v>24</v>
      </c>
      <c r="H25">
        <v>1236</v>
      </c>
      <c r="I25">
        <v>-29664</v>
      </c>
      <c r="J25">
        <v>56.87</v>
      </c>
      <c r="K25">
        <v>1238.3695833333334</v>
      </c>
      <c r="L25">
        <v>-29720.87</v>
      </c>
      <c r="M25" t="s">
        <v>329</v>
      </c>
      <c r="N25" t="s">
        <v>328</v>
      </c>
    </row>
    <row r="26" spans="1:14" x14ac:dyDescent="0.25">
      <c r="A26" s="18">
        <v>45755</v>
      </c>
      <c r="B26" t="s">
        <v>319</v>
      </c>
      <c r="C26" t="s">
        <v>290</v>
      </c>
      <c r="D26" t="s">
        <v>45</v>
      </c>
      <c r="E26" t="s">
        <v>46</v>
      </c>
      <c r="F26" t="s">
        <v>21</v>
      </c>
      <c r="G26">
        <v>-800</v>
      </c>
      <c r="H26">
        <v>37.68</v>
      </c>
      <c r="I26">
        <v>30144</v>
      </c>
      <c r="J26">
        <v>75.14</v>
      </c>
      <c r="K26">
        <v>37.586075000000001</v>
      </c>
      <c r="L26">
        <v>30068.86</v>
      </c>
      <c r="M26" t="s">
        <v>45</v>
      </c>
      <c r="N26" t="s">
        <v>290</v>
      </c>
    </row>
    <row r="27" spans="1:14" x14ac:dyDescent="0.25">
      <c r="A27" s="18">
        <v>45755</v>
      </c>
      <c r="B27" t="s">
        <v>289</v>
      </c>
      <c r="C27" t="s">
        <v>318</v>
      </c>
      <c r="D27" t="s">
        <v>22</v>
      </c>
      <c r="E27" t="s">
        <v>23</v>
      </c>
      <c r="F27" t="s">
        <v>21</v>
      </c>
      <c r="G27">
        <v>1100</v>
      </c>
      <c r="H27">
        <v>27.08</v>
      </c>
      <c r="I27">
        <v>-29787.999999999996</v>
      </c>
      <c r="J27">
        <v>193.94</v>
      </c>
      <c r="K27">
        <v>27.256309090909088</v>
      </c>
      <c r="L27">
        <v>-29981.939999999995</v>
      </c>
      <c r="M27" t="s">
        <v>22</v>
      </c>
      <c r="N27" t="s">
        <v>318</v>
      </c>
    </row>
    <row r="28" spans="1:14" x14ac:dyDescent="0.25">
      <c r="A28" s="18">
        <v>45755</v>
      </c>
      <c r="B28" t="s">
        <v>289</v>
      </c>
      <c r="C28" t="s">
        <v>331</v>
      </c>
      <c r="D28" t="s">
        <v>332</v>
      </c>
      <c r="E28" t="s">
        <v>333</v>
      </c>
      <c r="F28" t="s">
        <v>21</v>
      </c>
      <c r="G28">
        <v>12</v>
      </c>
      <c r="H28">
        <v>1281.1167</v>
      </c>
      <c r="I28">
        <v>-15373.4004</v>
      </c>
      <c r="J28">
        <v>60.37</v>
      </c>
      <c r="K28">
        <v>1286.1475333333335</v>
      </c>
      <c r="L28">
        <v>-15433.770400000001</v>
      </c>
      <c r="M28" t="s">
        <v>332</v>
      </c>
      <c r="N28" t="s">
        <v>331</v>
      </c>
    </row>
    <row r="29" spans="1:14" x14ac:dyDescent="0.25">
      <c r="A29" s="18">
        <v>45756</v>
      </c>
      <c r="B29" t="s">
        <v>289</v>
      </c>
      <c r="C29" t="s">
        <v>334</v>
      </c>
      <c r="D29" t="s">
        <v>335</v>
      </c>
      <c r="E29" t="s">
        <v>336</v>
      </c>
      <c r="F29" t="s">
        <v>21</v>
      </c>
      <c r="G29">
        <v>1158</v>
      </c>
      <c r="H29">
        <v>43.2316</v>
      </c>
      <c r="I29">
        <v>-50062.192799999997</v>
      </c>
      <c r="J29">
        <v>145.12</v>
      </c>
      <c r="K29">
        <v>43.356919516407601</v>
      </c>
      <c r="L29">
        <v>-50207.3128</v>
      </c>
      <c r="M29" t="s">
        <v>335</v>
      </c>
      <c r="N29" t="s">
        <v>334</v>
      </c>
    </row>
    <row r="30" spans="1:14" x14ac:dyDescent="0.25">
      <c r="A30" s="18">
        <v>45756</v>
      </c>
      <c r="B30" t="s">
        <v>289</v>
      </c>
      <c r="C30" t="s">
        <v>311</v>
      </c>
      <c r="D30" t="s">
        <v>312</v>
      </c>
      <c r="E30" t="s">
        <v>313</v>
      </c>
      <c r="F30" t="s">
        <v>21</v>
      </c>
      <c r="G30">
        <v>250</v>
      </c>
      <c r="H30">
        <v>198.65</v>
      </c>
      <c r="I30">
        <v>-49662.5</v>
      </c>
      <c r="J30">
        <v>293.31</v>
      </c>
      <c r="K30">
        <v>199.82324</v>
      </c>
      <c r="L30">
        <v>-49955.81</v>
      </c>
      <c r="M30" t="s">
        <v>312</v>
      </c>
      <c r="N30" t="s">
        <v>311</v>
      </c>
    </row>
    <row r="31" spans="1:14" x14ac:dyDescent="0.25">
      <c r="A31" s="18">
        <v>45756</v>
      </c>
      <c r="B31" t="s">
        <v>319</v>
      </c>
      <c r="C31" t="s">
        <v>337</v>
      </c>
      <c r="D31">
        <v>554273</v>
      </c>
      <c r="E31" t="s">
        <v>338</v>
      </c>
      <c r="F31" t="s">
        <v>21</v>
      </c>
      <c r="G31">
        <v>-3</v>
      </c>
      <c r="H31">
        <v>6876.5</v>
      </c>
      <c r="I31">
        <v>206295</v>
      </c>
      <c r="J31">
        <v>9</v>
      </c>
      <c r="K31">
        <v>6876.2</v>
      </c>
      <c r="L31">
        <v>206286</v>
      </c>
      <c r="M31">
        <v>554273</v>
      </c>
      <c r="N31" t="s">
        <v>337</v>
      </c>
    </row>
    <row r="32" spans="1:14" x14ac:dyDescent="0.25">
      <c r="A32" s="18">
        <v>45756</v>
      </c>
      <c r="B32" t="s">
        <v>289</v>
      </c>
      <c r="C32" t="s">
        <v>331</v>
      </c>
      <c r="D32" t="s">
        <v>332</v>
      </c>
      <c r="E32" t="s">
        <v>333</v>
      </c>
      <c r="F32" t="s">
        <v>21</v>
      </c>
      <c r="G32">
        <v>15</v>
      </c>
      <c r="H32">
        <v>1295.5333000000001</v>
      </c>
      <c r="I32">
        <v>-19432.999500000002</v>
      </c>
      <c r="J32">
        <v>52.77</v>
      </c>
      <c r="K32">
        <v>1299.0513000000001</v>
      </c>
      <c r="L32">
        <v>-19485.769500000002</v>
      </c>
      <c r="M32" t="s">
        <v>332</v>
      </c>
      <c r="N32" t="s">
        <v>331</v>
      </c>
    </row>
    <row r="33" spans="1:14" x14ac:dyDescent="0.25">
      <c r="A33" s="18">
        <v>45756</v>
      </c>
      <c r="B33" t="s">
        <v>289</v>
      </c>
      <c r="C33" t="s">
        <v>331</v>
      </c>
      <c r="D33" t="s">
        <v>332</v>
      </c>
      <c r="E33" t="s">
        <v>333</v>
      </c>
      <c r="F33" t="s">
        <v>21</v>
      </c>
      <c r="G33">
        <v>39</v>
      </c>
      <c r="H33">
        <v>1278.9794999999999</v>
      </c>
      <c r="I33">
        <v>-49880.200499999999</v>
      </c>
      <c r="J33">
        <v>94.88</v>
      </c>
      <c r="K33">
        <v>1281.4123205128203</v>
      </c>
      <c r="L33">
        <v>-49975.080499999996</v>
      </c>
      <c r="M33" t="s">
        <v>332</v>
      </c>
      <c r="N33" t="s">
        <v>331</v>
      </c>
    </row>
    <row r="34" spans="1:14" x14ac:dyDescent="0.25">
      <c r="A34" s="18">
        <v>45757</v>
      </c>
      <c r="B34" t="s">
        <v>289</v>
      </c>
      <c r="C34" t="s">
        <v>318</v>
      </c>
      <c r="D34" t="s">
        <v>22</v>
      </c>
      <c r="E34" t="s">
        <v>23</v>
      </c>
      <c r="F34" t="s">
        <v>21</v>
      </c>
      <c r="G34">
        <v>743</v>
      </c>
      <c r="H34">
        <v>26.986499999999999</v>
      </c>
      <c r="I34">
        <v>-20050.969499999999</v>
      </c>
      <c r="J34">
        <v>145.25</v>
      </c>
      <c r="K34">
        <v>27.181991251682369</v>
      </c>
      <c r="L34">
        <v>-20196.219499999999</v>
      </c>
      <c r="M34" t="s">
        <v>22</v>
      </c>
      <c r="N34" t="s">
        <v>318</v>
      </c>
    </row>
    <row r="35" spans="1:14" x14ac:dyDescent="0.25">
      <c r="A35" s="18">
        <v>45758</v>
      </c>
      <c r="B35" t="s">
        <v>289</v>
      </c>
      <c r="C35" t="s">
        <v>311</v>
      </c>
      <c r="D35" t="s">
        <v>312</v>
      </c>
      <c r="E35" t="s">
        <v>313</v>
      </c>
      <c r="F35" t="s">
        <v>21</v>
      </c>
      <c r="G35">
        <v>123</v>
      </c>
      <c r="H35">
        <v>205</v>
      </c>
      <c r="I35">
        <v>-25215</v>
      </c>
      <c r="J35">
        <v>171.08</v>
      </c>
      <c r="K35">
        <v>206.3908943089431</v>
      </c>
      <c r="L35">
        <v>-25386.080000000002</v>
      </c>
      <c r="M35" t="s">
        <v>312</v>
      </c>
      <c r="N35" t="s">
        <v>311</v>
      </c>
    </row>
    <row r="36" spans="1:14" x14ac:dyDescent="0.25">
      <c r="A36" s="18">
        <v>45758</v>
      </c>
      <c r="B36" t="s">
        <v>319</v>
      </c>
      <c r="C36" t="s">
        <v>318</v>
      </c>
      <c r="D36" t="s">
        <v>22</v>
      </c>
      <c r="E36" t="s">
        <v>23</v>
      </c>
      <c r="F36" t="s">
        <v>21</v>
      </c>
      <c r="G36">
        <v>-8093</v>
      </c>
      <c r="H36">
        <v>26.5349</v>
      </c>
      <c r="I36">
        <v>214746.94570000001</v>
      </c>
      <c r="J36">
        <v>259.75</v>
      </c>
      <c r="K36">
        <v>26.502804361794144</v>
      </c>
      <c r="L36">
        <v>214487.19570000001</v>
      </c>
      <c r="M36" t="s">
        <v>22</v>
      </c>
      <c r="N36" t="s">
        <v>318</v>
      </c>
    </row>
    <row r="37" spans="1:14" x14ac:dyDescent="0.25">
      <c r="A37" s="18">
        <v>45758</v>
      </c>
      <c r="B37" t="s">
        <v>289</v>
      </c>
      <c r="C37" t="s">
        <v>339</v>
      </c>
      <c r="D37" t="s">
        <v>340</v>
      </c>
      <c r="E37" t="s">
        <v>341</v>
      </c>
      <c r="F37" t="s">
        <v>21</v>
      </c>
      <c r="G37">
        <v>707</v>
      </c>
      <c r="H37">
        <v>156.36529999999999</v>
      </c>
      <c r="I37">
        <v>-110550.2671</v>
      </c>
      <c r="J37">
        <v>155.55000000000001</v>
      </c>
      <c r="K37">
        <v>156.58531414427156</v>
      </c>
      <c r="L37">
        <v>-110705.8171</v>
      </c>
      <c r="M37" t="s">
        <v>340</v>
      </c>
      <c r="N37" t="s">
        <v>339</v>
      </c>
    </row>
    <row r="38" spans="1:14" x14ac:dyDescent="0.25">
      <c r="A38" s="18">
        <v>45758</v>
      </c>
      <c r="B38" t="s">
        <v>319</v>
      </c>
      <c r="C38" t="s">
        <v>323</v>
      </c>
      <c r="D38" t="s">
        <v>39</v>
      </c>
      <c r="E38" t="s">
        <v>40</v>
      </c>
      <c r="F38" t="s">
        <v>36</v>
      </c>
      <c r="G38">
        <v>-2200</v>
      </c>
      <c r="H38">
        <v>9.8650000000000002</v>
      </c>
      <c r="I38">
        <v>21703</v>
      </c>
      <c r="J38">
        <v>62.24</v>
      </c>
      <c r="K38">
        <v>9.8367090909090908</v>
      </c>
      <c r="L38">
        <v>21640.76</v>
      </c>
      <c r="M38" t="s">
        <v>39</v>
      </c>
      <c r="N38" t="s">
        <v>323</v>
      </c>
    </row>
    <row r="39" spans="1:14" x14ac:dyDescent="0.25">
      <c r="A39" s="18">
        <v>45758</v>
      </c>
      <c r="B39" t="s">
        <v>289</v>
      </c>
      <c r="C39" t="s">
        <v>342</v>
      </c>
      <c r="D39" t="s">
        <v>343</v>
      </c>
      <c r="E39" t="s">
        <v>282</v>
      </c>
      <c r="F39" t="s">
        <v>21</v>
      </c>
      <c r="G39">
        <v>1314</v>
      </c>
      <c r="H39">
        <v>83.156899999999993</v>
      </c>
      <c r="I39">
        <v>-109268.1666</v>
      </c>
      <c r="J39">
        <v>591.34</v>
      </c>
      <c r="K39">
        <v>83.606930441400294</v>
      </c>
      <c r="L39">
        <v>-109859.50659999999</v>
      </c>
      <c r="M39" t="s">
        <v>343</v>
      </c>
      <c r="N39" t="s">
        <v>342</v>
      </c>
    </row>
    <row r="40" spans="1:14" x14ac:dyDescent="0.25">
      <c r="A40" s="18">
        <v>45761</v>
      </c>
      <c r="B40" t="s">
        <v>319</v>
      </c>
      <c r="C40" t="s">
        <v>298</v>
      </c>
      <c r="D40" t="s">
        <v>299</v>
      </c>
      <c r="E40" t="s">
        <v>300</v>
      </c>
      <c r="F40" t="s">
        <v>21</v>
      </c>
      <c r="G40">
        <v>-122357</v>
      </c>
      <c r="H40">
        <v>2.93</v>
      </c>
      <c r="I40">
        <v>358506.01</v>
      </c>
      <c r="J40">
        <v>152.61000000000001</v>
      </c>
      <c r="K40">
        <v>2.9287527481059525</v>
      </c>
      <c r="L40">
        <v>358353.4</v>
      </c>
      <c r="M40" t="s">
        <v>299</v>
      </c>
      <c r="N40" t="s">
        <v>298</v>
      </c>
    </row>
    <row r="41" spans="1:14" x14ac:dyDescent="0.25">
      <c r="A41" s="18">
        <v>45761</v>
      </c>
      <c r="B41" t="s">
        <v>289</v>
      </c>
      <c r="C41" t="s">
        <v>344</v>
      </c>
      <c r="D41" t="s">
        <v>345</v>
      </c>
      <c r="E41" t="s">
        <v>346</v>
      </c>
      <c r="F41" t="s">
        <v>21</v>
      </c>
      <c r="G41">
        <v>3</v>
      </c>
      <c r="H41">
        <v>131.04</v>
      </c>
      <c r="I41">
        <v>-393120</v>
      </c>
      <c r="J41">
        <v>9</v>
      </c>
      <c r="K41">
        <v>131.04300000000001</v>
      </c>
      <c r="L41">
        <v>-393129</v>
      </c>
      <c r="M41" t="s">
        <v>345</v>
      </c>
      <c r="N41" t="s">
        <v>344</v>
      </c>
    </row>
    <row r="42" spans="1:14" x14ac:dyDescent="0.25">
      <c r="A42" s="18">
        <v>45762</v>
      </c>
      <c r="B42" t="s">
        <v>319</v>
      </c>
      <c r="C42" t="s">
        <v>347</v>
      </c>
      <c r="D42" t="s">
        <v>348</v>
      </c>
      <c r="E42" t="s">
        <v>349</v>
      </c>
      <c r="F42" t="s">
        <v>21</v>
      </c>
      <c r="G42">
        <v>-3</v>
      </c>
      <c r="H42">
        <v>7177.7</v>
      </c>
      <c r="I42">
        <v>215331</v>
      </c>
      <c r="J42">
        <v>9</v>
      </c>
      <c r="K42">
        <v>7177.4</v>
      </c>
      <c r="L42">
        <v>215322</v>
      </c>
      <c r="M42" t="s">
        <v>348</v>
      </c>
      <c r="N42" t="s">
        <v>347</v>
      </c>
    </row>
    <row r="43" spans="1:14" x14ac:dyDescent="0.25">
      <c r="A43" s="18">
        <v>45762</v>
      </c>
      <c r="B43" t="s">
        <v>289</v>
      </c>
      <c r="C43" t="s">
        <v>337</v>
      </c>
      <c r="D43">
        <v>554273</v>
      </c>
      <c r="E43" t="s">
        <v>338</v>
      </c>
      <c r="F43" t="s">
        <v>21</v>
      </c>
      <c r="G43">
        <v>3</v>
      </c>
      <c r="H43">
        <v>7268.2</v>
      </c>
      <c r="I43">
        <v>-218046</v>
      </c>
      <c r="J43">
        <v>9</v>
      </c>
      <c r="K43">
        <v>7268.5</v>
      </c>
      <c r="L43">
        <v>-218055</v>
      </c>
      <c r="M43">
        <v>554273</v>
      </c>
      <c r="N43" t="s">
        <v>337</v>
      </c>
    </row>
    <row r="44" spans="1:14" x14ac:dyDescent="0.25">
      <c r="A44" s="18">
        <v>45764</v>
      </c>
      <c r="B44" t="s">
        <v>289</v>
      </c>
      <c r="C44" t="s">
        <v>318</v>
      </c>
      <c r="D44" t="s">
        <v>22</v>
      </c>
      <c r="E44" t="s">
        <v>23</v>
      </c>
      <c r="F44" t="s">
        <v>21</v>
      </c>
      <c r="G44">
        <v>2414</v>
      </c>
      <c r="H44">
        <v>29.1234</v>
      </c>
      <c r="I44">
        <v>-70303.887600000002</v>
      </c>
      <c r="J44">
        <v>396.52</v>
      </c>
      <c r="K44">
        <v>29.28765849212925</v>
      </c>
      <c r="L44">
        <v>-70700.407600000006</v>
      </c>
      <c r="M44" t="s">
        <v>22</v>
      </c>
      <c r="N44" t="s">
        <v>318</v>
      </c>
    </row>
    <row r="45" spans="1:14" x14ac:dyDescent="0.25">
      <c r="A45" s="18">
        <v>45764</v>
      </c>
      <c r="B45" t="s">
        <v>289</v>
      </c>
      <c r="C45" t="s">
        <v>318</v>
      </c>
      <c r="D45" t="s">
        <v>22</v>
      </c>
      <c r="E45" t="s">
        <v>23</v>
      </c>
      <c r="F45" t="s">
        <v>21</v>
      </c>
      <c r="G45">
        <v>2414</v>
      </c>
      <c r="H45">
        <v>28.811199999999999</v>
      </c>
      <c r="I45">
        <v>-69550.236799999999</v>
      </c>
      <c r="J45">
        <v>392.75</v>
      </c>
      <c r="K45">
        <v>28.973896768848384</v>
      </c>
      <c r="L45">
        <v>-69942.986799999999</v>
      </c>
      <c r="M45" t="s">
        <v>22</v>
      </c>
      <c r="N45" t="s">
        <v>318</v>
      </c>
    </row>
    <row r="46" spans="1:14" x14ac:dyDescent="0.25">
      <c r="A46" s="18">
        <v>45764</v>
      </c>
      <c r="B46" t="s">
        <v>319</v>
      </c>
      <c r="C46" t="s">
        <v>347</v>
      </c>
      <c r="D46" t="s">
        <v>348</v>
      </c>
      <c r="E46" t="s">
        <v>349</v>
      </c>
      <c r="F46" t="s">
        <v>21</v>
      </c>
      <c r="G46">
        <v>-1</v>
      </c>
      <c r="H46">
        <v>7198.5</v>
      </c>
      <c r="I46">
        <v>71985</v>
      </c>
      <c r="J46">
        <v>9</v>
      </c>
      <c r="K46">
        <v>7197.6</v>
      </c>
      <c r="L46">
        <v>71976</v>
      </c>
      <c r="M46" t="s">
        <v>348</v>
      </c>
      <c r="N46" t="s">
        <v>347</v>
      </c>
    </row>
    <row r="47" spans="1:14" x14ac:dyDescent="0.25">
      <c r="A47" s="18">
        <v>45764</v>
      </c>
      <c r="B47" t="s">
        <v>319</v>
      </c>
      <c r="C47" t="s">
        <v>347</v>
      </c>
      <c r="D47" t="s">
        <v>348</v>
      </c>
      <c r="E47" t="s">
        <v>349</v>
      </c>
      <c r="F47" t="s">
        <v>21</v>
      </c>
      <c r="G47">
        <v>-1</v>
      </c>
      <c r="H47">
        <v>7188.5</v>
      </c>
      <c r="I47">
        <v>71885</v>
      </c>
      <c r="J47">
        <v>9</v>
      </c>
      <c r="K47">
        <v>7187.6</v>
      </c>
      <c r="L47">
        <v>71876</v>
      </c>
      <c r="M47" t="s">
        <v>348</v>
      </c>
      <c r="N47" t="s">
        <v>347</v>
      </c>
    </row>
    <row r="48" spans="1:14" x14ac:dyDescent="0.25">
      <c r="A48" s="18">
        <v>45770</v>
      </c>
      <c r="B48" t="s">
        <v>289</v>
      </c>
      <c r="C48" t="s">
        <v>308</v>
      </c>
      <c r="D48" t="s">
        <v>309</v>
      </c>
      <c r="E48" t="s">
        <v>310</v>
      </c>
      <c r="F48" t="s">
        <v>21</v>
      </c>
      <c r="G48">
        <v>3122</v>
      </c>
      <c r="H48">
        <v>16.0868</v>
      </c>
      <c r="I48">
        <v>-50222.989600000001</v>
      </c>
      <c r="J48">
        <v>265.98</v>
      </c>
      <c r="K48">
        <v>16.171995387572071</v>
      </c>
      <c r="L48">
        <v>-50488.969600000004</v>
      </c>
      <c r="M48" t="s">
        <v>309</v>
      </c>
      <c r="N48" t="s">
        <v>308</v>
      </c>
    </row>
    <row r="49" spans="1:14" x14ac:dyDescent="0.25">
      <c r="A49" s="18">
        <v>45770</v>
      </c>
      <c r="B49" t="s">
        <v>289</v>
      </c>
      <c r="C49" t="s">
        <v>334</v>
      </c>
      <c r="D49" t="s">
        <v>335</v>
      </c>
      <c r="E49" t="s">
        <v>336</v>
      </c>
      <c r="F49" t="s">
        <v>21</v>
      </c>
      <c r="G49">
        <v>601</v>
      </c>
      <c r="H49">
        <v>49.903700000000001</v>
      </c>
      <c r="I49">
        <v>-29992.1237</v>
      </c>
      <c r="J49">
        <v>86.99</v>
      </c>
      <c r="K49">
        <v>50.048442096505823</v>
      </c>
      <c r="L49">
        <v>-30079.113700000002</v>
      </c>
      <c r="M49" t="s">
        <v>335</v>
      </c>
      <c r="N49" t="s">
        <v>334</v>
      </c>
    </row>
    <row r="50" spans="1:14" x14ac:dyDescent="0.25">
      <c r="A50" s="18">
        <v>45770</v>
      </c>
      <c r="B50" t="s">
        <v>289</v>
      </c>
      <c r="C50" t="s">
        <v>318</v>
      </c>
      <c r="D50" t="s">
        <v>22</v>
      </c>
      <c r="E50" t="s">
        <v>23</v>
      </c>
      <c r="F50" t="s">
        <v>21</v>
      </c>
      <c r="G50">
        <v>1391</v>
      </c>
      <c r="H50">
        <v>28.819600000000001</v>
      </c>
      <c r="I50">
        <v>-40088.063600000001</v>
      </c>
      <c r="J50">
        <v>221.39</v>
      </c>
      <c r="K50">
        <v>28.978758878504674</v>
      </c>
      <c r="L50">
        <v>-40309.453600000001</v>
      </c>
      <c r="M50" t="s">
        <v>22</v>
      </c>
      <c r="N50" t="s">
        <v>318</v>
      </c>
    </row>
    <row r="51" spans="1:14" x14ac:dyDescent="0.25">
      <c r="A51" s="18">
        <v>45776</v>
      </c>
      <c r="B51" t="s">
        <v>289</v>
      </c>
      <c r="C51" t="s">
        <v>328</v>
      </c>
      <c r="D51" t="s">
        <v>329</v>
      </c>
      <c r="E51" t="s">
        <v>330</v>
      </c>
      <c r="F51" t="s">
        <v>21</v>
      </c>
      <c r="G51">
        <v>28</v>
      </c>
      <c r="H51">
        <v>1431.5</v>
      </c>
      <c r="I51">
        <v>-40082</v>
      </c>
      <c r="J51">
        <v>61.03</v>
      </c>
      <c r="K51">
        <v>1433.6796428571429</v>
      </c>
      <c r="L51">
        <v>-40143.03</v>
      </c>
      <c r="M51" t="s">
        <v>329</v>
      </c>
      <c r="N51" t="s">
        <v>328</v>
      </c>
    </row>
    <row r="52" spans="1:14" x14ac:dyDescent="0.25">
      <c r="A52" s="18">
        <v>45777</v>
      </c>
      <c r="B52" t="s">
        <v>289</v>
      </c>
      <c r="C52" t="s">
        <v>331</v>
      </c>
      <c r="D52" t="s">
        <v>332</v>
      </c>
      <c r="E52" t="s">
        <v>333</v>
      </c>
      <c r="F52" t="s">
        <v>21</v>
      </c>
      <c r="G52">
        <v>22</v>
      </c>
      <c r="H52">
        <v>1383.4</v>
      </c>
      <c r="I52">
        <v>-30434.800000000003</v>
      </c>
      <c r="J52">
        <v>75.430000000000007</v>
      </c>
      <c r="K52">
        <v>1386.8286363636364</v>
      </c>
      <c r="L52">
        <v>-30510.230000000003</v>
      </c>
      <c r="M52" t="s">
        <v>332</v>
      </c>
      <c r="N52" t="s">
        <v>331</v>
      </c>
    </row>
    <row r="53" spans="1:14" x14ac:dyDescent="0.25">
      <c r="A53" s="18">
        <v>45779</v>
      </c>
      <c r="B53" t="s">
        <v>319</v>
      </c>
      <c r="C53" t="s">
        <v>334</v>
      </c>
      <c r="D53" t="s">
        <v>335</v>
      </c>
      <c r="E53" t="s">
        <v>336</v>
      </c>
      <c r="F53" t="s">
        <v>21</v>
      </c>
      <c r="G53">
        <v>-858</v>
      </c>
      <c r="H53">
        <v>52.42</v>
      </c>
      <c r="I53">
        <v>44976.36</v>
      </c>
      <c r="J53">
        <v>58.49</v>
      </c>
      <c r="K53">
        <v>52.351829836829843</v>
      </c>
      <c r="L53">
        <v>44917.87</v>
      </c>
      <c r="M53" t="s">
        <v>335</v>
      </c>
      <c r="N53" t="s">
        <v>334</v>
      </c>
    </row>
    <row r="54" spans="1:14" x14ac:dyDescent="0.25">
      <c r="A54" s="18">
        <v>45779</v>
      </c>
      <c r="B54" t="s">
        <v>319</v>
      </c>
      <c r="C54" t="s">
        <v>314</v>
      </c>
      <c r="D54" t="s">
        <v>315</v>
      </c>
      <c r="E54" t="s">
        <v>264</v>
      </c>
      <c r="F54" t="s">
        <v>21</v>
      </c>
      <c r="G54">
        <v>-797</v>
      </c>
      <c r="H54">
        <v>21.8628</v>
      </c>
      <c r="I54">
        <v>17424.651600000001</v>
      </c>
      <c r="J54">
        <v>51.48</v>
      </c>
      <c r="K54">
        <v>21.798207779171896</v>
      </c>
      <c r="L54">
        <v>17373.171600000001</v>
      </c>
      <c r="M54" t="s">
        <v>315</v>
      </c>
      <c r="N54" t="s">
        <v>314</v>
      </c>
    </row>
    <row r="55" spans="1:14" x14ac:dyDescent="0.25">
      <c r="A55" s="18">
        <v>45779</v>
      </c>
      <c r="B55" t="s">
        <v>289</v>
      </c>
      <c r="C55" t="s">
        <v>350</v>
      </c>
      <c r="D55" t="s">
        <v>351</v>
      </c>
      <c r="E55" t="s">
        <v>352</v>
      </c>
      <c r="F55" t="s">
        <v>21</v>
      </c>
      <c r="G55">
        <v>1207</v>
      </c>
      <c r="H55">
        <v>33.090000000000003</v>
      </c>
      <c r="I55">
        <v>-39939.630000000005</v>
      </c>
      <c r="J55">
        <v>56.98</v>
      </c>
      <c r="K55">
        <v>33.137207953603983</v>
      </c>
      <c r="L55">
        <v>-39996.610000000008</v>
      </c>
      <c r="M55" t="s">
        <v>351</v>
      </c>
      <c r="N55" t="s">
        <v>350</v>
      </c>
    </row>
    <row r="56" spans="1:14" x14ac:dyDescent="0.25">
      <c r="A56" s="18">
        <v>45779</v>
      </c>
      <c r="B56" t="s">
        <v>289</v>
      </c>
      <c r="C56" t="s">
        <v>325</v>
      </c>
      <c r="D56" t="s">
        <v>47</v>
      </c>
      <c r="E56" t="s">
        <v>48</v>
      </c>
      <c r="F56" t="s">
        <v>36</v>
      </c>
      <c r="G56">
        <v>697</v>
      </c>
      <c r="H56">
        <v>73.505899999999997</v>
      </c>
      <c r="I56">
        <v>-51233.612300000001</v>
      </c>
      <c r="J56">
        <v>567.57000000000005</v>
      </c>
      <c r="K56">
        <v>74.320204160688661</v>
      </c>
      <c r="L56">
        <v>-51801.1823</v>
      </c>
      <c r="M56" t="s">
        <v>47</v>
      </c>
      <c r="N56" t="s">
        <v>325</v>
      </c>
    </row>
    <row r="57" spans="1:14" x14ac:dyDescent="0.25">
      <c r="A57" s="18">
        <v>45779</v>
      </c>
      <c r="B57" t="s">
        <v>319</v>
      </c>
      <c r="C57" t="s">
        <v>342</v>
      </c>
      <c r="D57" t="s">
        <v>343</v>
      </c>
      <c r="E57" t="s">
        <v>282</v>
      </c>
      <c r="F57" t="s">
        <v>21</v>
      </c>
      <c r="G57">
        <v>-608</v>
      </c>
      <c r="H57">
        <v>99.046899999999994</v>
      </c>
      <c r="I57">
        <v>60220.515199999994</v>
      </c>
      <c r="J57">
        <v>63.07</v>
      </c>
      <c r="K57">
        <v>98.943166447368412</v>
      </c>
      <c r="L57">
        <v>60157.445199999995</v>
      </c>
      <c r="M57" t="s">
        <v>343</v>
      </c>
      <c r="N57" t="s">
        <v>342</v>
      </c>
    </row>
    <row r="58" spans="1:14" x14ac:dyDescent="0.25">
      <c r="A58" s="18">
        <v>45783</v>
      </c>
      <c r="B58" t="s">
        <v>319</v>
      </c>
      <c r="C58" t="s">
        <v>320</v>
      </c>
      <c r="D58" t="s">
        <v>321</v>
      </c>
      <c r="E58" t="s">
        <v>322</v>
      </c>
      <c r="F58" t="s">
        <v>36</v>
      </c>
      <c r="G58">
        <v>-4810</v>
      </c>
      <c r="H58">
        <v>7.1938000000000004</v>
      </c>
      <c r="I58">
        <v>34602.178</v>
      </c>
      <c r="J58">
        <v>53.61</v>
      </c>
      <c r="K58">
        <v>7.1826544698544694</v>
      </c>
      <c r="L58">
        <v>34548.567999999999</v>
      </c>
      <c r="M58" t="s">
        <v>321</v>
      </c>
      <c r="N58" t="s">
        <v>320</v>
      </c>
    </row>
    <row r="59" spans="1:14" x14ac:dyDescent="0.25">
      <c r="A59" s="18">
        <v>45783</v>
      </c>
      <c r="B59" t="s">
        <v>289</v>
      </c>
      <c r="C59" t="s">
        <v>353</v>
      </c>
      <c r="D59" t="s">
        <v>122</v>
      </c>
      <c r="E59" t="s">
        <v>297</v>
      </c>
      <c r="F59" t="s">
        <v>21</v>
      </c>
      <c r="G59">
        <v>133</v>
      </c>
      <c r="H59">
        <v>199.08</v>
      </c>
      <c r="I59">
        <v>-26477.640000000003</v>
      </c>
      <c r="J59">
        <v>45</v>
      </c>
      <c r="K59">
        <v>199.41834586466169</v>
      </c>
      <c r="L59">
        <v>-26522.640000000003</v>
      </c>
      <c r="M59" t="s">
        <v>122</v>
      </c>
      <c r="N59" t="s">
        <v>353</v>
      </c>
    </row>
    <row r="60" spans="1:14" x14ac:dyDescent="0.25">
      <c r="A60" s="18">
        <v>45783</v>
      </c>
      <c r="B60" t="s">
        <v>289</v>
      </c>
      <c r="C60" t="s">
        <v>301</v>
      </c>
      <c r="D60" t="s">
        <v>120</v>
      </c>
      <c r="E60" t="s">
        <v>302</v>
      </c>
      <c r="F60" t="s">
        <v>21</v>
      </c>
      <c r="G60">
        <v>93</v>
      </c>
      <c r="H60">
        <v>274.68</v>
      </c>
      <c r="I60">
        <v>-25545.24</v>
      </c>
      <c r="J60">
        <v>45</v>
      </c>
      <c r="K60">
        <v>275.16387096774196</v>
      </c>
      <c r="L60">
        <v>-25590.240000000002</v>
      </c>
      <c r="M60" t="s">
        <v>120</v>
      </c>
      <c r="N60" t="s">
        <v>301</v>
      </c>
    </row>
    <row r="61" spans="1:14" x14ac:dyDescent="0.25">
      <c r="A61" s="18">
        <v>45783</v>
      </c>
      <c r="B61" t="s">
        <v>289</v>
      </c>
      <c r="C61" t="s">
        <v>325</v>
      </c>
      <c r="D61" t="s">
        <v>47</v>
      </c>
      <c r="E61" t="s">
        <v>48</v>
      </c>
      <c r="F61" t="s">
        <v>36</v>
      </c>
      <c r="G61">
        <v>362</v>
      </c>
      <c r="H61">
        <v>70.88</v>
      </c>
      <c r="I61">
        <v>-25658.559999999998</v>
      </c>
      <c r="J61">
        <v>306.62</v>
      </c>
      <c r="K61">
        <v>71.727016574585633</v>
      </c>
      <c r="L61">
        <v>-25965.179999999997</v>
      </c>
      <c r="M61" t="s">
        <v>47</v>
      </c>
      <c r="N61" t="s">
        <v>325</v>
      </c>
    </row>
    <row r="62" spans="1:14" x14ac:dyDescent="0.25">
      <c r="A62" s="18">
        <v>45783</v>
      </c>
      <c r="B62" t="s">
        <v>289</v>
      </c>
      <c r="C62" t="s">
        <v>354</v>
      </c>
      <c r="D62" t="s">
        <v>355</v>
      </c>
      <c r="E62" t="s">
        <v>356</v>
      </c>
      <c r="F62" t="s">
        <v>21</v>
      </c>
      <c r="G62">
        <v>210</v>
      </c>
      <c r="H62">
        <v>183.98</v>
      </c>
      <c r="I62">
        <v>-38635.799999999996</v>
      </c>
      <c r="J62">
        <v>214.99</v>
      </c>
      <c r="K62">
        <v>185.00376190476189</v>
      </c>
      <c r="L62">
        <v>-38850.789999999994</v>
      </c>
      <c r="M62" t="s">
        <v>355</v>
      </c>
      <c r="N62" t="s">
        <v>354</v>
      </c>
    </row>
    <row r="63" spans="1:14" x14ac:dyDescent="0.25">
      <c r="A63" s="18">
        <v>45784</v>
      </c>
      <c r="B63" t="s">
        <v>289</v>
      </c>
      <c r="C63" t="s">
        <v>303</v>
      </c>
      <c r="D63" t="s">
        <v>304</v>
      </c>
      <c r="E63" t="s">
        <v>357</v>
      </c>
      <c r="F63" t="s">
        <v>21</v>
      </c>
      <c r="G63">
        <v>120000</v>
      </c>
      <c r="H63">
        <v>104.78491666666667</v>
      </c>
      <c r="I63">
        <v>-125741.90000000002</v>
      </c>
      <c r="J63">
        <v>45</v>
      </c>
      <c r="K63">
        <v>104.78489166666667</v>
      </c>
      <c r="L63">
        <v>-125741.87</v>
      </c>
      <c r="M63" t="s">
        <v>304</v>
      </c>
      <c r="N63" t="s">
        <v>303</v>
      </c>
    </row>
    <row r="64" spans="1:14" x14ac:dyDescent="0.25">
      <c r="A64" s="18">
        <v>45784</v>
      </c>
      <c r="B64" t="s">
        <v>319</v>
      </c>
      <c r="C64" t="s">
        <v>291</v>
      </c>
      <c r="D64" t="s">
        <v>292</v>
      </c>
      <c r="E64" t="s">
        <v>293</v>
      </c>
      <c r="F64" t="s">
        <v>21</v>
      </c>
      <c r="G64">
        <v>-68027</v>
      </c>
      <c r="H64">
        <v>1.4273</v>
      </c>
      <c r="I64">
        <v>97094.937099999996</v>
      </c>
      <c r="J64">
        <v>74.13</v>
      </c>
      <c r="K64">
        <v>1.4262102856218852</v>
      </c>
      <c r="L64">
        <v>97020.807099999991</v>
      </c>
      <c r="M64" t="s">
        <v>292</v>
      </c>
      <c r="N64" t="s">
        <v>291</v>
      </c>
    </row>
    <row r="65" spans="1:14" x14ac:dyDescent="0.25">
      <c r="A65" s="18">
        <v>45784</v>
      </c>
      <c r="B65" t="s">
        <v>289</v>
      </c>
      <c r="C65" t="s">
        <v>358</v>
      </c>
      <c r="D65" t="s">
        <v>359</v>
      </c>
      <c r="E65" t="s">
        <v>360</v>
      </c>
      <c r="F65" t="s">
        <v>21</v>
      </c>
      <c r="G65">
        <v>3968</v>
      </c>
      <c r="H65">
        <v>19.511500000000002</v>
      </c>
      <c r="I65">
        <v>-77421.632000000012</v>
      </c>
      <c r="J65">
        <v>377.92</v>
      </c>
      <c r="K65">
        <v>19.606741935483875</v>
      </c>
      <c r="L65">
        <v>-77799.552000000011</v>
      </c>
      <c r="M65" t="s">
        <v>359</v>
      </c>
      <c r="N65" t="s">
        <v>358</v>
      </c>
    </row>
    <row r="66" spans="1:14" x14ac:dyDescent="0.25">
      <c r="A66" s="18">
        <v>45784</v>
      </c>
      <c r="B66" t="s">
        <v>289</v>
      </c>
      <c r="C66" t="s">
        <v>316</v>
      </c>
      <c r="D66" t="s">
        <v>317</v>
      </c>
      <c r="E66" t="s">
        <v>274</v>
      </c>
      <c r="F66" t="s">
        <v>21</v>
      </c>
      <c r="G66">
        <v>1835</v>
      </c>
      <c r="H66">
        <v>54.577599999999997</v>
      </c>
      <c r="I66">
        <v>-100149.89599999999</v>
      </c>
      <c r="J66">
        <v>75.05</v>
      </c>
      <c r="K66">
        <v>54.618499182561308</v>
      </c>
      <c r="L66">
        <v>-100224.946</v>
      </c>
      <c r="M66" t="s">
        <v>317</v>
      </c>
      <c r="N66" t="s">
        <v>316</v>
      </c>
    </row>
    <row r="67" spans="1:14" x14ac:dyDescent="0.25">
      <c r="A67" s="18">
        <v>45785</v>
      </c>
      <c r="B67" t="s">
        <v>289</v>
      </c>
      <c r="C67" t="s">
        <v>350</v>
      </c>
      <c r="D67" t="s">
        <v>351</v>
      </c>
      <c r="E67" t="s">
        <v>352</v>
      </c>
      <c r="F67" t="s">
        <v>21</v>
      </c>
      <c r="G67">
        <v>918</v>
      </c>
      <c r="H67">
        <v>32.729999999999997</v>
      </c>
      <c r="I67">
        <v>-30046.139999999996</v>
      </c>
      <c r="J67">
        <v>75.05</v>
      </c>
      <c r="K67">
        <v>32.811753812636162</v>
      </c>
      <c r="L67">
        <v>-30121.189999999995</v>
      </c>
      <c r="M67" t="s">
        <v>351</v>
      </c>
      <c r="N67" t="s">
        <v>350</v>
      </c>
    </row>
    <row r="68" spans="1:14" x14ac:dyDescent="0.25">
      <c r="A68" s="18">
        <v>45785</v>
      </c>
      <c r="B68" t="s">
        <v>289</v>
      </c>
      <c r="C68" t="s">
        <v>323</v>
      </c>
      <c r="D68" t="s">
        <v>39</v>
      </c>
      <c r="E68" t="s">
        <v>40</v>
      </c>
      <c r="F68" t="s">
        <v>36</v>
      </c>
      <c r="G68">
        <v>2480</v>
      </c>
      <c r="H68">
        <v>10.270657</v>
      </c>
      <c r="I68">
        <v>-25471.229360000001</v>
      </c>
      <c r="J68">
        <v>192.51</v>
      </c>
      <c r="K68">
        <v>10.348281999999999</v>
      </c>
      <c r="L68">
        <v>-25663.73936</v>
      </c>
      <c r="M68" t="s">
        <v>39</v>
      </c>
      <c r="N68" t="s">
        <v>323</v>
      </c>
    </row>
    <row r="69" spans="1:14" x14ac:dyDescent="0.25">
      <c r="A69" s="18">
        <v>45786</v>
      </c>
      <c r="B69" t="s">
        <v>289</v>
      </c>
      <c r="C69" t="s">
        <v>334</v>
      </c>
      <c r="D69" t="s">
        <v>335</v>
      </c>
      <c r="E69" t="s">
        <v>252</v>
      </c>
      <c r="F69" t="s">
        <v>21</v>
      </c>
      <c r="G69">
        <v>938</v>
      </c>
      <c r="H69">
        <v>53.615099999999998</v>
      </c>
      <c r="I69">
        <v>-50290.963799999998</v>
      </c>
      <c r="J69">
        <v>145.58000000000001</v>
      </c>
      <c r="K69">
        <v>53.770302558635393</v>
      </c>
      <c r="L69">
        <v>-50436.543799999999</v>
      </c>
      <c r="M69" t="s">
        <v>335</v>
      </c>
      <c r="N69" t="s">
        <v>334</v>
      </c>
    </row>
    <row r="70" spans="1:14" x14ac:dyDescent="0.25">
      <c r="A70" s="18">
        <v>45786</v>
      </c>
      <c r="B70" t="s">
        <v>289</v>
      </c>
      <c r="C70" t="s">
        <v>303</v>
      </c>
      <c r="D70" t="s">
        <v>304</v>
      </c>
      <c r="E70" t="s">
        <v>357</v>
      </c>
      <c r="F70" t="s">
        <v>21</v>
      </c>
      <c r="G70">
        <v>287000</v>
      </c>
      <c r="H70">
        <v>104.25968641114981</v>
      </c>
      <c r="I70">
        <v>-299225.3</v>
      </c>
      <c r="J70">
        <v>45</v>
      </c>
      <c r="K70">
        <v>104.25970034843206</v>
      </c>
      <c r="L70">
        <v>-299225.34000000003</v>
      </c>
      <c r="M70" t="s">
        <v>304</v>
      </c>
      <c r="N70" t="s">
        <v>303</v>
      </c>
    </row>
    <row r="71" spans="1:14" x14ac:dyDescent="0.25">
      <c r="A71" s="18">
        <v>45786</v>
      </c>
      <c r="B71" t="s">
        <v>289</v>
      </c>
      <c r="C71" t="s">
        <v>350</v>
      </c>
      <c r="D71" t="s">
        <v>351</v>
      </c>
      <c r="E71" t="s">
        <v>352</v>
      </c>
      <c r="F71" t="s">
        <v>21</v>
      </c>
      <c r="G71">
        <v>1835</v>
      </c>
      <c r="H71">
        <v>32.531700000000001</v>
      </c>
      <c r="I71">
        <v>-59695.669500000004</v>
      </c>
      <c r="J71">
        <v>104.7</v>
      </c>
      <c r="K71">
        <v>32.588757220708445</v>
      </c>
      <c r="L71">
        <v>-59800.369500000001</v>
      </c>
      <c r="M71" t="s">
        <v>351</v>
      </c>
      <c r="N71" t="s">
        <v>350</v>
      </c>
    </row>
    <row r="72" spans="1:14" x14ac:dyDescent="0.25">
      <c r="A72" s="18">
        <v>45786</v>
      </c>
      <c r="B72" t="s">
        <v>289</v>
      </c>
      <c r="C72" t="s">
        <v>358</v>
      </c>
      <c r="D72" t="s">
        <v>359</v>
      </c>
      <c r="E72" t="s">
        <v>360</v>
      </c>
      <c r="F72" t="s">
        <v>21</v>
      </c>
      <c r="G72">
        <v>2036</v>
      </c>
      <c r="H72">
        <v>19.6599</v>
      </c>
      <c r="I72">
        <v>-40027.556400000001</v>
      </c>
      <c r="J72">
        <v>245.14</v>
      </c>
      <c r="K72">
        <v>19.78030275049116</v>
      </c>
      <c r="L72">
        <v>-40272.696400000001</v>
      </c>
      <c r="M72" t="s">
        <v>359</v>
      </c>
      <c r="N72" t="s">
        <v>358</v>
      </c>
    </row>
    <row r="73" spans="1:14" x14ac:dyDescent="0.25">
      <c r="A73" s="18">
        <v>45786</v>
      </c>
      <c r="B73" t="s">
        <v>289</v>
      </c>
      <c r="C73" t="s">
        <v>316</v>
      </c>
      <c r="D73" t="s">
        <v>317</v>
      </c>
      <c r="E73" t="s">
        <v>274</v>
      </c>
      <c r="F73" t="s">
        <v>21</v>
      </c>
      <c r="G73">
        <v>927</v>
      </c>
      <c r="H73">
        <v>54.3337</v>
      </c>
      <c r="I73">
        <v>-50367.339899999999</v>
      </c>
      <c r="J73">
        <v>95.37</v>
      </c>
      <c r="K73">
        <v>54.436580258899681</v>
      </c>
      <c r="L73">
        <v>-50462.709900000002</v>
      </c>
      <c r="M73" t="s">
        <v>317</v>
      </c>
      <c r="N73" t="s">
        <v>316</v>
      </c>
    </row>
    <row r="74" spans="1:14" x14ac:dyDescent="0.25">
      <c r="A74" s="18">
        <v>45789</v>
      </c>
      <c r="B74" t="s">
        <v>289</v>
      </c>
      <c r="C74" t="s">
        <v>353</v>
      </c>
      <c r="D74" t="s">
        <v>122</v>
      </c>
      <c r="E74" t="s">
        <v>297</v>
      </c>
      <c r="F74" t="s">
        <v>21</v>
      </c>
      <c r="G74">
        <v>320</v>
      </c>
      <c r="H74">
        <v>188.39</v>
      </c>
      <c r="I74">
        <v>-60284.799999999996</v>
      </c>
      <c r="J74">
        <v>69.11</v>
      </c>
      <c r="K74">
        <v>188.60596874999999</v>
      </c>
      <c r="L74">
        <v>-60353.909999999996</v>
      </c>
      <c r="M74" t="s">
        <v>122</v>
      </c>
      <c r="N74" t="s">
        <v>353</v>
      </c>
    </row>
    <row r="75" spans="1:14" x14ac:dyDescent="0.25">
      <c r="A75" s="18">
        <v>45789</v>
      </c>
      <c r="B75" t="s">
        <v>289</v>
      </c>
      <c r="C75" t="s">
        <v>303</v>
      </c>
      <c r="D75" t="s">
        <v>304</v>
      </c>
      <c r="E75" t="s">
        <v>357</v>
      </c>
      <c r="F75" t="s">
        <v>21</v>
      </c>
      <c r="G75">
        <v>300000</v>
      </c>
      <c r="H75">
        <v>103.73613333333334</v>
      </c>
      <c r="I75">
        <v>-311208.40000000002</v>
      </c>
      <c r="J75">
        <v>45</v>
      </c>
      <c r="K75">
        <v>103.73615000000001</v>
      </c>
      <c r="L75">
        <v>-311208.45</v>
      </c>
      <c r="M75" t="s">
        <v>304</v>
      </c>
      <c r="N75" t="s">
        <v>303</v>
      </c>
    </row>
    <row r="76" spans="1:14" x14ac:dyDescent="0.25">
      <c r="A76" s="18">
        <v>45789</v>
      </c>
      <c r="B76" t="s">
        <v>289</v>
      </c>
      <c r="C76" t="s">
        <v>361</v>
      </c>
      <c r="D76" t="s">
        <v>93</v>
      </c>
      <c r="E76" t="s">
        <v>94</v>
      </c>
      <c r="F76" t="s">
        <v>21</v>
      </c>
      <c r="G76">
        <v>930</v>
      </c>
      <c r="H76">
        <v>75.44</v>
      </c>
      <c r="I76">
        <v>-70159.199999999997</v>
      </c>
      <c r="J76">
        <v>73.06</v>
      </c>
      <c r="K76">
        <v>75.518559139784941</v>
      </c>
      <c r="L76">
        <v>-70232.259999999995</v>
      </c>
      <c r="M76" t="s">
        <v>93</v>
      </c>
      <c r="N76" t="s">
        <v>361</v>
      </c>
    </row>
    <row r="77" spans="1:14" x14ac:dyDescent="0.25">
      <c r="A77" s="18">
        <v>45789</v>
      </c>
      <c r="B77" t="s">
        <v>289</v>
      </c>
      <c r="C77" t="s">
        <v>311</v>
      </c>
      <c r="D77" t="s">
        <v>312</v>
      </c>
      <c r="E77" t="s">
        <v>313</v>
      </c>
      <c r="F77" t="s">
        <v>21</v>
      </c>
      <c r="G77">
        <v>123</v>
      </c>
      <c r="H77">
        <v>242.8</v>
      </c>
      <c r="I77">
        <v>-29864.400000000001</v>
      </c>
      <c r="J77">
        <v>176.41</v>
      </c>
      <c r="K77">
        <v>244.23422764227644</v>
      </c>
      <c r="L77">
        <v>-30040.81</v>
      </c>
      <c r="M77" t="s">
        <v>312</v>
      </c>
      <c r="N77" t="s">
        <v>311</v>
      </c>
    </row>
    <row r="78" spans="1:14" x14ac:dyDescent="0.25">
      <c r="A78" s="18">
        <v>45789</v>
      </c>
      <c r="B78" t="s">
        <v>289</v>
      </c>
      <c r="C78" t="s">
        <v>314</v>
      </c>
      <c r="D78" t="s">
        <v>315</v>
      </c>
      <c r="E78" t="s">
        <v>362</v>
      </c>
      <c r="F78" t="s">
        <v>21</v>
      </c>
      <c r="G78">
        <v>1360</v>
      </c>
      <c r="H78">
        <v>22.045100000000001</v>
      </c>
      <c r="I78">
        <v>-29981.336000000003</v>
      </c>
      <c r="J78">
        <v>358.05</v>
      </c>
      <c r="K78">
        <v>22.308372058823529</v>
      </c>
      <c r="L78">
        <v>-30339.386000000002</v>
      </c>
      <c r="M78" t="s">
        <v>315</v>
      </c>
      <c r="N78" t="s">
        <v>314</v>
      </c>
    </row>
    <row r="79" spans="1:14" x14ac:dyDescent="0.25">
      <c r="A79" s="18">
        <v>45789</v>
      </c>
      <c r="B79" t="s">
        <v>289</v>
      </c>
      <c r="C79" t="s">
        <v>328</v>
      </c>
      <c r="D79" t="s">
        <v>329</v>
      </c>
      <c r="E79" t="s">
        <v>330</v>
      </c>
      <c r="F79" t="s">
        <v>21</v>
      </c>
      <c r="G79">
        <v>19</v>
      </c>
      <c r="H79">
        <v>1579.5</v>
      </c>
      <c r="I79">
        <v>-30010.5</v>
      </c>
      <c r="J79">
        <v>57</v>
      </c>
      <c r="K79">
        <v>1582.5</v>
      </c>
      <c r="L79">
        <v>-30067.5</v>
      </c>
      <c r="M79" t="s">
        <v>329</v>
      </c>
      <c r="N79" t="s">
        <v>328</v>
      </c>
    </row>
    <row r="80" spans="1:14" x14ac:dyDescent="0.25">
      <c r="A80" s="18">
        <v>45789</v>
      </c>
      <c r="B80" t="s">
        <v>289</v>
      </c>
      <c r="C80" t="s">
        <v>318</v>
      </c>
      <c r="D80" t="s">
        <v>22</v>
      </c>
      <c r="E80" t="s">
        <v>23</v>
      </c>
      <c r="F80" t="s">
        <v>21</v>
      </c>
      <c r="G80">
        <v>3255</v>
      </c>
      <c r="H80">
        <v>30.620899999999999</v>
      </c>
      <c r="I80">
        <v>-99671.02949999999</v>
      </c>
      <c r="J80">
        <v>483.55</v>
      </c>
      <c r="K80">
        <v>30.769456067588322</v>
      </c>
      <c r="L80">
        <v>-100154.57949999999</v>
      </c>
      <c r="M80" t="s">
        <v>22</v>
      </c>
      <c r="N80" t="s">
        <v>318</v>
      </c>
    </row>
    <row r="81" spans="1:14" x14ac:dyDescent="0.25">
      <c r="A81" s="18">
        <v>45789</v>
      </c>
      <c r="B81" t="s">
        <v>289</v>
      </c>
      <c r="C81" t="s">
        <v>301</v>
      </c>
      <c r="D81" t="s">
        <v>120</v>
      </c>
      <c r="E81" t="s">
        <v>363</v>
      </c>
      <c r="F81" t="s">
        <v>21</v>
      </c>
      <c r="G81">
        <v>226</v>
      </c>
      <c r="H81">
        <v>266.10000000000002</v>
      </c>
      <c r="I81">
        <v>-60138.600000000006</v>
      </c>
      <c r="J81">
        <v>45</v>
      </c>
      <c r="K81">
        <v>266.2991150442478</v>
      </c>
      <c r="L81">
        <v>-60183.600000000006</v>
      </c>
      <c r="M81" t="s">
        <v>120</v>
      </c>
      <c r="N81" t="s">
        <v>301</v>
      </c>
    </row>
    <row r="82" spans="1:14" x14ac:dyDescent="0.25">
      <c r="A82" s="18">
        <v>45789</v>
      </c>
      <c r="B82" t="s">
        <v>289</v>
      </c>
      <c r="C82" t="s">
        <v>323</v>
      </c>
      <c r="D82" t="s">
        <v>39</v>
      </c>
      <c r="E82" t="s">
        <v>40</v>
      </c>
      <c r="F82" t="s">
        <v>36</v>
      </c>
      <c r="G82">
        <v>2485</v>
      </c>
      <c r="H82">
        <v>10.130000000000001</v>
      </c>
      <c r="I82">
        <v>-25173.050000000003</v>
      </c>
      <c r="J82">
        <v>175.33</v>
      </c>
      <c r="K82">
        <v>10.200555331991954</v>
      </c>
      <c r="L82">
        <v>-25348.380000000005</v>
      </c>
      <c r="M82" t="s">
        <v>39</v>
      </c>
      <c r="N82" t="s">
        <v>323</v>
      </c>
    </row>
    <row r="83" spans="1:14" x14ac:dyDescent="0.25">
      <c r="A83" s="18">
        <v>45790</v>
      </c>
      <c r="B83" t="s">
        <v>289</v>
      </c>
      <c r="C83" t="s">
        <v>364</v>
      </c>
      <c r="D83" t="s">
        <v>365</v>
      </c>
      <c r="E83" t="s">
        <v>366</v>
      </c>
      <c r="F83" t="s">
        <v>49</v>
      </c>
      <c r="G83">
        <v>5</v>
      </c>
      <c r="H83">
        <v>110.109375</v>
      </c>
      <c r="I83">
        <v>-550546.875</v>
      </c>
      <c r="J83">
        <v>22.5</v>
      </c>
      <c r="K83">
        <v>110.11387499999999</v>
      </c>
      <c r="L83">
        <v>-550569.375</v>
      </c>
      <c r="M83" t="s">
        <v>365</v>
      </c>
      <c r="N83" t="s">
        <v>364</v>
      </c>
    </row>
    <row r="84" spans="1:14" x14ac:dyDescent="0.25">
      <c r="A84" s="18">
        <v>45790</v>
      </c>
      <c r="B84" t="s">
        <v>289</v>
      </c>
      <c r="C84" t="s">
        <v>334</v>
      </c>
      <c r="D84" t="s">
        <v>335</v>
      </c>
      <c r="E84" t="s">
        <v>252</v>
      </c>
      <c r="F84" t="s">
        <v>21</v>
      </c>
      <c r="G84">
        <v>893</v>
      </c>
      <c r="H84">
        <v>55.235500000000002</v>
      </c>
      <c r="I84">
        <v>-49325.301500000001</v>
      </c>
      <c r="J84">
        <v>109.13</v>
      </c>
      <c r="K84">
        <v>55.357706047032472</v>
      </c>
      <c r="L84">
        <v>-49434.431499999999</v>
      </c>
      <c r="M84" t="s">
        <v>335</v>
      </c>
      <c r="N84" t="s">
        <v>334</v>
      </c>
    </row>
    <row r="85" spans="1:14" x14ac:dyDescent="0.25">
      <c r="A85" s="18">
        <v>45790</v>
      </c>
      <c r="B85" t="s">
        <v>319</v>
      </c>
      <c r="C85" t="s">
        <v>291</v>
      </c>
      <c r="D85" t="s">
        <v>292</v>
      </c>
      <c r="E85" t="s">
        <v>293</v>
      </c>
      <c r="F85" t="s">
        <v>21</v>
      </c>
      <c r="G85">
        <v>-68027</v>
      </c>
      <c r="H85">
        <v>1.5479000000000001</v>
      </c>
      <c r="I85">
        <v>105298.9933</v>
      </c>
      <c r="J85">
        <v>150.30000000000001</v>
      </c>
      <c r="K85">
        <v>1.5456905831508077</v>
      </c>
      <c r="L85">
        <v>105148.6933</v>
      </c>
      <c r="M85" t="s">
        <v>292</v>
      </c>
      <c r="N85" t="s">
        <v>291</v>
      </c>
    </row>
    <row r="86" spans="1:14" x14ac:dyDescent="0.25">
      <c r="A86" s="18">
        <v>45790</v>
      </c>
      <c r="B86" t="s">
        <v>289</v>
      </c>
      <c r="C86" t="s">
        <v>358</v>
      </c>
      <c r="D86" t="s">
        <v>359</v>
      </c>
      <c r="E86" t="s">
        <v>360</v>
      </c>
      <c r="F86" t="s">
        <v>21</v>
      </c>
      <c r="G86">
        <v>4689</v>
      </c>
      <c r="H86">
        <v>20.8477</v>
      </c>
      <c r="I86">
        <v>-97754.865300000005</v>
      </c>
      <c r="J86">
        <v>533.77</v>
      </c>
      <c r="K86">
        <v>20.961534506291322</v>
      </c>
      <c r="L86">
        <v>-98288.635300000009</v>
      </c>
      <c r="M86" t="s">
        <v>359</v>
      </c>
      <c r="N86" t="s">
        <v>358</v>
      </c>
    </row>
    <row r="87" spans="1:14" x14ac:dyDescent="0.25">
      <c r="A87" s="18">
        <v>45790</v>
      </c>
      <c r="B87" t="s">
        <v>289</v>
      </c>
      <c r="C87" t="s">
        <v>344</v>
      </c>
      <c r="D87" t="s">
        <v>345</v>
      </c>
      <c r="E87" t="s">
        <v>367</v>
      </c>
      <c r="F87" t="s">
        <v>21</v>
      </c>
      <c r="G87">
        <v>2</v>
      </c>
      <c r="H87">
        <v>129.52000000000001</v>
      </c>
      <c r="I87">
        <v>-259040.00000000003</v>
      </c>
      <c r="J87">
        <v>6</v>
      </c>
      <c r="K87">
        <v>129.52300000000002</v>
      </c>
      <c r="L87">
        <v>-259046.00000000003</v>
      </c>
      <c r="M87" t="s">
        <v>345</v>
      </c>
      <c r="N87" t="s">
        <v>344</v>
      </c>
    </row>
    <row r="88" spans="1:14" x14ac:dyDescent="0.25">
      <c r="A88" s="18">
        <v>45790</v>
      </c>
      <c r="B88" t="s">
        <v>289</v>
      </c>
      <c r="C88" t="s">
        <v>325</v>
      </c>
      <c r="D88" t="s">
        <v>47</v>
      </c>
      <c r="E88" t="s">
        <v>48</v>
      </c>
      <c r="F88" t="s">
        <v>36</v>
      </c>
      <c r="G88">
        <v>783</v>
      </c>
      <c r="H88">
        <v>75.345100000000002</v>
      </c>
      <c r="I88">
        <v>-58995.213300000003</v>
      </c>
      <c r="J88">
        <v>646.99</v>
      </c>
      <c r="K88">
        <v>76.171396296296294</v>
      </c>
      <c r="L88">
        <v>-59642.203300000001</v>
      </c>
      <c r="M88" t="s">
        <v>47</v>
      </c>
      <c r="N88" t="s">
        <v>325</v>
      </c>
    </row>
    <row r="89" spans="1:14" x14ac:dyDescent="0.25">
      <c r="A89" s="18">
        <v>45791</v>
      </c>
      <c r="B89" t="s">
        <v>289</v>
      </c>
      <c r="C89" t="s">
        <v>361</v>
      </c>
      <c r="D89" t="s">
        <v>93</v>
      </c>
      <c r="E89" t="s">
        <v>94</v>
      </c>
      <c r="F89" t="s">
        <v>21</v>
      </c>
      <c r="G89">
        <v>678</v>
      </c>
      <c r="H89">
        <v>73.8</v>
      </c>
      <c r="I89">
        <v>-50036.4</v>
      </c>
      <c r="J89">
        <v>95.04</v>
      </c>
      <c r="K89">
        <v>73.940176991150452</v>
      </c>
      <c r="L89">
        <v>-50131.44</v>
      </c>
      <c r="M89" t="s">
        <v>93</v>
      </c>
      <c r="N89" t="s">
        <v>361</v>
      </c>
    </row>
    <row r="90" spans="1:14" x14ac:dyDescent="0.25">
      <c r="A90" s="18">
        <v>45791</v>
      </c>
      <c r="B90" t="s">
        <v>289</v>
      </c>
      <c r="C90" t="s">
        <v>344</v>
      </c>
      <c r="D90" t="s">
        <v>345</v>
      </c>
      <c r="E90" t="s">
        <v>367</v>
      </c>
      <c r="F90" t="s">
        <v>21</v>
      </c>
      <c r="G90">
        <v>1</v>
      </c>
      <c r="H90">
        <v>129.38999999999999</v>
      </c>
      <c r="I90">
        <v>-129389.99999999999</v>
      </c>
      <c r="J90">
        <v>3</v>
      </c>
      <c r="K90">
        <v>129.39299999999997</v>
      </c>
      <c r="L90">
        <v>-129392.99999999999</v>
      </c>
      <c r="M90" t="s">
        <v>345</v>
      </c>
      <c r="N90" t="s">
        <v>344</v>
      </c>
    </row>
    <row r="91" spans="1:14" x14ac:dyDescent="0.25">
      <c r="A91" s="18">
        <v>45791</v>
      </c>
      <c r="B91" t="s">
        <v>319</v>
      </c>
      <c r="C91" t="s">
        <v>368</v>
      </c>
      <c r="D91" t="s">
        <v>369</v>
      </c>
      <c r="E91" t="s">
        <v>370</v>
      </c>
      <c r="F91" t="s">
        <v>21</v>
      </c>
      <c r="G91">
        <v>-1</v>
      </c>
      <c r="H91">
        <v>23588</v>
      </c>
      <c r="I91">
        <v>117940</v>
      </c>
      <c r="J91">
        <v>3</v>
      </c>
      <c r="K91">
        <v>23587.4</v>
      </c>
      <c r="L91">
        <v>117937</v>
      </c>
      <c r="M91" t="s">
        <v>369</v>
      </c>
      <c r="N91" t="s">
        <v>368</v>
      </c>
    </row>
    <row r="92" spans="1:14" x14ac:dyDescent="0.25">
      <c r="A92" s="18">
        <v>45791</v>
      </c>
      <c r="B92" t="s">
        <v>289</v>
      </c>
      <c r="C92" t="s">
        <v>325</v>
      </c>
      <c r="D92" t="s">
        <v>47</v>
      </c>
      <c r="E92" t="s">
        <v>48</v>
      </c>
      <c r="F92" t="s">
        <v>36</v>
      </c>
      <c r="G92">
        <v>892</v>
      </c>
      <c r="H92">
        <v>74.133799999999994</v>
      </c>
      <c r="I92">
        <v>-66127.349600000001</v>
      </c>
      <c r="J92">
        <v>727.17</v>
      </c>
      <c r="K92">
        <v>74.9490130044843</v>
      </c>
      <c r="L92">
        <v>-66854.5196</v>
      </c>
      <c r="M92" t="s">
        <v>47</v>
      </c>
      <c r="N92" t="s">
        <v>325</v>
      </c>
    </row>
    <row r="93" spans="1:14" x14ac:dyDescent="0.25">
      <c r="A93" s="18">
        <v>45791</v>
      </c>
      <c r="B93" t="s">
        <v>289</v>
      </c>
      <c r="C93" t="s">
        <v>347</v>
      </c>
      <c r="D93" t="s">
        <v>348</v>
      </c>
      <c r="E93" t="s">
        <v>371</v>
      </c>
      <c r="F93" t="s">
        <v>21</v>
      </c>
      <c r="G93">
        <v>5</v>
      </c>
      <c r="H93">
        <v>7838.2</v>
      </c>
      <c r="I93">
        <v>-391910</v>
      </c>
      <c r="J93">
        <v>15</v>
      </c>
      <c r="K93">
        <v>7838.5</v>
      </c>
      <c r="L93">
        <v>-391925</v>
      </c>
      <c r="M93" t="s">
        <v>348</v>
      </c>
      <c r="N93" t="s">
        <v>347</v>
      </c>
    </row>
    <row r="94" spans="1:14" x14ac:dyDescent="0.25">
      <c r="A94" s="18">
        <v>45791</v>
      </c>
      <c r="B94" t="s">
        <v>319</v>
      </c>
      <c r="C94" t="s">
        <v>372</v>
      </c>
      <c r="D94" t="s">
        <v>373</v>
      </c>
      <c r="E94" t="s">
        <v>374</v>
      </c>
      <c r="F94" t="s">
        <v>21</v>
      </c>
      <c r="G94">
        <v>-5</v>
      </c>
      <c r="H94">
        <v>7789.2</v>
      </c>
      <c r="I94">
        <v>389460</v>
      </c>
      <c r="J94">
        <v>15</v>
      </c>
      <c r="K94">
        <v>7788.9</v>
      </c>
      <c r="L94">
        <v>389445</v>
      </c>
      <c r="M94" t="s">
        <v>373</v>
      </c>
      <c r="N94" t="s">
        <v>372</v>
      </c>
    </row>
    <row r="95" spans="1:14" x14ac:dyDescent="0.25">
      <c r="A95" s="18">
        <v>45791</v>
      </c>
      <c r="B95" t="s">
        <v>289</v>
      </c>
      <c r="C95" t="s">
        <v>375</v>
      </c>
      <c r="D95" t="s">
        <v>376</v>
      </c>
      <c r="E95" t="s">
        <v>377</v>
      </c>
      <c r="F95" t="s">
        <v>21</v>
      </c>
      <c r="G95">
        <v>2599</v>
      </c>
      <c r="H95">
        <v>19.077500000000001</v>
      </c>
      <c r="I95">
        <v>-49582.422500000001</v>
      </c>
      <c r="J95">
        <v>263.16000000000003</v>
      </c>
      <c r="K95">
        <v>19.178754328587921</v>
      </c>
      <c r="L95">
        <v>-49845.582500000004</v>
      </c>
      <c r="M95" t="s">
        <v>376</v>
      </c>
      <c r="N95" t="s">
        <v>375</v>
      </c>
    </row>
    <row r="96" spans="1:14" x14ac:dyDescent="0.25">
      <c r="A96" s="18">
        <v>45791</v>
      </c>
      <c r="B96" t="s">
        <v>289</v>
      </c>
      <c r="C96" t="s">
        <v>375</v>
      </c>
      <c r="D96" t="s">
        <v>376</v>
      </c>
      <c r="E96" t="s">
        <v>377</v>
      </c>
      <c r="F96" t="s">
        <v>21</v>
      </c>
      <c r="G96">
        <v>1583</v>
      </c>
      <c r="H96">
        <v>19.041</v>
      </c>
      <c r="I96">
        <v>-30141.903000000002</v>
      </c>
      <c r="J96">
        <v>177.63</v>
      </c>
      <c r="K96">
        <v>19.153210991787748</v>
      </c>
      <c r="L96">
        <v>-30319.533000000003</v>
      </c>
      <c r="M96" t="s">
        <v>376</v>
      </c>
      <c r="N96" t="s">
        <v>375</v>
      </c>
    </row>
    <row r="97" spans="1:14" x14ac:dyDescent="0.25">
      <c r="A97" s="18">
        <v>45792</v>
      </c>
      <c r="B97" t="s">
        <v>289</v>
      </c>
      <c r="C97" t="s">
        <v>378</v>
      </c>
      <c r="D97" t="s">
        <v>114</v>
      </c>
      <c r="E97" t="s">
        <v>379</v>
      </c>
      <c r="F97" t="s">
        <v>21</v>
      </c>
      <c r="G97">
        <v>8368</v>
      </c>
      <c r="H97">
        <v>121.69000000000001</v>
      </c>
      <c r="I97">
        <v>-1018301.92</v>
      </c>
      <c r="J97">
        <v>50</v>
      </c>
      <c r="K97">
        <v>121.69597514340344</v>
      </c>
      <c r="L97">
        <v>-1018351.92</v>
      </c>
      <c r="M97" t="s">
        <v>114</v>
      </c>
      <c r="N97" t="s">
        <v>378</v>
      </c>
    </row>
    <row r="98" spans="1:14" x14ac:dyDescent="0.25">
      <c r="A98" s="18">
        <v>45792</v>
      </c>
      <c r="B98" t="s">
        <v>289</v>
      </c>
      <c r="C98" t="s">
        <v>325</v>
      </c>
      <c r="D98" t="s">
        <v>47</v>
      </c>
      <c r="E98" t="s">
        <v>48</v>
      </c>
      <c r="F98" t="s">
        <v>36</v>
      </c>
      <c r="G98">
        <v>579</v>
      </c>
      <c r="H98">
        <v>72.760000000000005</v>
      </c>
      <c r="I98">
        <v>-42128.04</v>
      </c>
      <c r="J98">
        <v>502.78</v>
      </c>
      <c r="K98">
        <v>73.628359240069088</v>
      </c>
      <c r="L98">
        <v>-42630.82</v>
      </c>
      <c r="M98" t="s">
        <v>47</v>
      </c>
      <c r="N98" t="s">
        <v>325</v>
      </c>
    </row>
    <row r="99" spans="1:14" x14ac:dyDescent="0.25">
      <c r="A99" s="18">
        <v>45793</v>
      </c>
      <c r="B99" t="s">
        <v>289</v>
      </c>
      <c r="C99" t="s">
        <v>353</v>
      </c>
      <c r="D99" t="s">
        <v>122</v>
      </c>
      <c r="E99" t="s">
        <v>297</v>
      </c>
      <c r="F99" t="s">
        <v>21</v>
      </c>
      <c r="G99">
        <v>550</v>
      </c>
      <c r="H99">
        <v>187.88409999999999</v>
      </c>
      <c r="I99">
        <v>-103336.25499999999</v>
      </c>
      <c r="J99">
        <v>96.67</v>
      </c>
      <c r="K99">
        <v>188.05986363636362</v>
      </c>
      <c r="L99">
        <v>-103432.92499999999</v>
      </c>
      <c r="M99" t="s">
        <v>122</v>
      </c>
      <c r="N99" t="s">
        <v>353</v>
      </c>
    </row>
    <row r="100" spans="1:14" x14ac:dyDescent="0.25">
      <c r="A100" s="18">
        <v>45793</v>
      </c>
      <c r="B100" t="s">
        <v>289</v>
      </c>
      <c r="C100" t="s">
        <v>353</v>
      </c>
      <c r="D100" t="s">
        <v>122</v>
      </c>
      <c r="E100" t="s">
        <v>297</v>
      </c>
      <c r="F100" t="s">
        <v>21</v>
      </c>
      <c r="G100">
        <v>320</v>
      </c>
      <c r="H100">
        <v>185.97880000000001</v>
      </c>
      <c r="I100">
        <v>-59513.216</v>
      </c>
      <c r="J100">
        <v>45</v>
      </c>
      <c r="K100">
        <v>186.11942500000001</v>
      </c>
      <c r="L100">
        <v>-59558.216</v>
      </c>
      <c r="M100" t="s">
        <v>122</v>
      </c>
      <c r="N100" t="s">
        <v>353</v>
      </c>
    </row>
    <row r="101" spans="1:14" x14ac:dyDescent="0.25">
      <c r="A101" s="18">
        <v>45793</v>
      </c>
      <c r="B101" t="s">
        <v>289</v>
      </c>
      <c r="C101" t="s">
        <v>303</v>
      </c>
      <c r="D101" t="s">
        <v>304</v>
      </c>
      <c r="E101" t="s">
        <v>357</v>
      </c>
      <c r="F101" t="s">
        <v>21</v>
      </c>
      <c r="G101">
        <v>391000</v>
      </c>
      <c r="H101">
        <v>104.23286445012788</v>
      </c>
      <c r="I101">
        <v>-407550.5</v>
      </c>
      <c r="J101">
        <v>45</v>
      </c>
      <c r="K101">
        <v>104.23286189258312</v>
      </c>
      <c r="L101">
        <v>-407550.49</v>
      </c>
      <c r="M101" t="s">
        <v>304</v>
      </c>
      <c r="N101" t="s">
        <v>303</v>
      </c>
    </row>
    <row r="102" spans="1:14" x14ac:dyDescent="0.25">
      <c r="A102" s="18">
        <v>45793</v>
      </c>
      <c r="B102" t="s">
        <v>289</v>
      </c>
      <c r="C102" t="s">
        <v>361</v>
      </c>
      <c r="D102" t="s">
        <v>93</v>
      </c>
      <c r="E102" t="s">
        <v>94</v>
      </c>
      <c r="F102" t="s">
        <v>21</v>
      </c>
      <c r="G102">
        <v>1300</v>
      </c>
      <c r="H102">
        <v>75.980800000000002</v>
      </c>
      <c r="I102">
        <v>-98775.040000000008</v>
      </c>
      <c r="J102">
        <v>143.78</v>
      </c>
      <c r="K102">
        <v>76.091400000000007</v>
      </c>
      <c r="L102">
        <v>-98918.82</v>
      </c>
      <c r="M102" t="s">
        <v>93</v>
      </c>
      <c r="N102" t="s">
        <v>361</v>
      </c>
    </row>
    <row r="103" spans="1:14" x14ac:dyDescent="0.25">
      <c r="A103" s="18">
        <v>45793</v>
      </c>
      <c r="B103" t="s">
        <v>289</v>
      </c>
      <c r="C103" t="s">
        <v>350</v>
      </c>
      <c r="D103" t="s">
        <v>351</v>
      </c>
      <c r="E103" t="s">
        <v>352</v>
      </c>
      <c r="F103" t="s">
        <v>21</v>
      </c>
      <c r="G103">
        <v>2500</v>
      </c>
      <c r="H103">
        <v>32.630000000000003</v>
      </c>
      <c r="I103">
        <v>-81575</v>
      </c>
      <c r="J103">
        <v>126.58</v>
      </c>
      <c r="K103">
        <v>32.680632000000003</v>
      </c>
      <c r="L103">
        <v>-81701.58</v>
      </c>
      <c r="M103" t="s">
        <v>351</v>
      </c>
      <c r="N103" t="s">
        <v>350</v>
      </c>
    </row>
    <row r="104" spans="1:14" x14ac:dyDescent="0.25">
      <c r="A104" s="18">
        <v>45793</v>
      </c>
      <c r="B104" t="s">
        <v>289</v>
      </c>
      <c r="C104" t="s">
        <v>380</v>
      </c>
      <c r="D104" t="s">
        <v>381</v>
      </c>
      <c r="E104" t="s">
        <v>382</v>
      </c>
      <c r="F104" t="s">
        <v>21</v>
      </c>
      <c r="G104">
        <v>78</v>
      </c>
      <c r="H104">
        <v>2586</v>
      </c>
      <c r="I104">
        <v>-201708</v>
      </c>
      <c r="J104">
        <v>1053.54</v>
      </c>
      <c r="K104">
        <v>2599.5069230769232</v>
      </c>
      <c r="L104">
        <v>-202761.54</v>
      </c>
      <c r="M104" t="s">
        <v>381</v>
      </c>
      <c r="N104" t="s">
        <v>380</v>
      </c>
    </row>
    <row r="105" spans="1:14" x14ac:dyDescent="0.25">
      <c r="A105" s="18">
        <v>45793</v>
      </c>
      <c r="B105" t="s">
        <v>289</v>
      </c>
      <c r="C105" t="s">
        <v>339</v>
      </c>
      <c r="D105" t="s">
        <v>340</v>
      </c>
      <c r="E105" t="s">
        <v>341</v>
      </c>
      <c r="F105" t="s">
        <v>21</v>
      </c>
      <c r="G105">
        <v>420</v>
      </c>
      <c r="H105">
        <v>186.35</v>
      </c>
      <c r="I105">
        <v>-78267</v>
      </c>
      <c r="J105">
        <v>123.27</v>
      </c>
      <c r="K105">
        <v>186.64350000000002</v>
      </c>
      <c r="L105">
        <v>-78390.27</v>
      </c>
      <c r="M105" t="s">
        <v>340</v>
      </c>
      <c r="N105" t="s">
        <v>339</v>
      </c>
    </row>
    <row r="106" spans="1:14" x14ac:dyDescent="0.25">
      <c r="A106" s="18">
        <v>45793</v>
      </c>
      <c r="B106" t="s">
        <v>289</v>
      </c>
      <c r="C106" t="s">
        <v>301</v>
      </c>
      <c r="D106" t="s">
        <v>120</v>
      </c>
      <c r="E106" t="s">
        <v>363</v>
      </c>
      <c r="F106" t="s">
        <v>21</v>
      </c>
      <c r="G106">
        <v>390</v>
      </c>
      <c r="H106">
        <v>262.70999999999998</v>
      </c>
      <c r="I106">
        <v>-102456.9</v>
      </c>
      <c r="J106">
        <v>96.23</v>
      </c>
      <c r="K106">
        <v>262.95674358974355</v>
      </c>
      <c r="L106">
        <v>-102553.12999999999</v>
      </c>
      <c r="M106" t="s">
        <v>120</v>
      </c>
      <c r="N106" t="s">
        <v>301</v>
      </c>
    </row>
    <row r="107" spans="1:14" x14ac:dyDescent="0.25">
      <c r="A107" s="18">
        <v>45793</v>
      </c>
      <c r="B107" t="s">
        <v>289</v>
      </c>
      <c r="C107" t="s">
        <v>301</v>
      </c>
      <c r="D107" t="s">
        <v>120</v>
      </c>
      <c r="E107" t="s">
        <v>363</v>
      </c>
      <c r="F107" t="s">
        <v>21</v>
      </c>
      <c r="G107">
        <v>230</v>
      </c>
      <c r="H107">
        <v>260.35000000000002</v>
      </c>
      <c r="I107">
        <v>-59880.500000000007</v>
      </c>
      <c r="J107">
        <v>45</v>
      </c>
      <c r="K107">
        <v>260.54565217391308</v>
      </c>
      <c r="L107">
        <v>-59925.500000000007</v>
      </c>
      <c r="M107" t="s">
        <v>120</v>
      </c>
      <c r="N107" t="s">
        <v>301</v>
      </c>
    </row>
    <row r="108" spans="1:14" x14ac:dyDescent="0.25">
      <c r="A108" s="18">
        <v>45793</v>
      </c>
      <c r="B108" t="s">
        <v>289</v>
      </c>
      <c r="C108" t="s">
        <v>375</v>
      </c>
      <c r="D108" t="s">
        <v>376</v>
      </c>
      <c r="E108" t="s">
        <v>377</v>
      </c>
      <c r="F108" t="s">
        <v>21</v>
      </c>
      <c r="G108">
        <v>3000</v>
      </c>
      <c r="H108">
        <v>19.392099999999999</v>
      </c>
      <c r="I108">
        <v>-58176.299999999996</v>
      </c>
      <c r="J108">
        <v>335.89</v>
      </c>
      <c r="K108">
        <v>19.504063333333331</v>
      </c>
      <c r="L108">
        <v>-58512.189999999995</v>
      </c>
      <c r="M108" t="s">
        <v>376</v>
      </c>
      <c r="N108" t="s">
        <v>375</v>
      </c>
    </row>
    <row r="109" spans="1:14" x14ac:dyDescent="0.25">
      <c r="A109" s="18">
        <v>45796</v>
      </c>
      <c r="B109" t="s">
        <v>319</v>
      </c>
      <c r="C109" t="s">
        <v>326</v>
      </c>
      <c r="D109" t="s">
        <v>327</v>
      </c>
      <c r="E109" t="s">
        <v>251</v>
      </c>
      <c r="F109" t="s">
        <v>21</v>
      </c>
      <c r="G109">
        <v>-743</v>
      </c>
      <c r="H109">
        <v>126.97499999999999</v>
      </c>
      <c r="I109">
        <v>94342.425000000003</v>
      </c>
      <c r="J109">
        <v>139.34</v>
      </c>
      <c r="K109">
        <v>126.78746298788695</v>
      </c>
      <c r="L109">
        <v>94203.085000000006</v>
      </c>
      <c r="M109" t="s">
        <v>327</v>
      </c>
      <c r="N109" t="s">
        <v>326</v>
      </c>
    </row>
    <row r="110" spans="1:14" x14ac:dyDescent="0.25">
      <c r="A110" s="18">
        <v>45796</v>
      </c>
      <c r="B110" t="s">
        <v>289</v>
      </c>
      <c r="C110" t="s">
        <v>314</v>
      </c>
      <c r="D110" t="s">
        <v>315</v>
      </c>
      <c r="E110" t="s">
        <v>362</v>
      </c>
      <c r="F110" t="s">
        <v>21</v>
      </c>
      <c r="G110">
        <v>2795</v>
      </c>
      <c r="H110">
        <v>23.23</v>
      </c>
      <c r="I110">
        <v>-64927.85</v>
      </c>
      <c r="J110">
        <v>760.46</v>
      </c>
      <c r="K110">
        <v>23.502078711985689</v>
      </c>
      <c r="L110">
        <v>-65688.31</v>
      </c>
      <c r="M110" t="s">
        <v>315</v>
      </c>
      <c r="N110" t="s">
        <v>314</v>
      </c>
    </row>
    <row r="111" spans="1:14" x14ac:dyDescent="0.25">
      <c r="A111" s="18">
        <v>45796</v>
      </c>
      <c r="B111" t="s">
        <v>289</v>
      </c>
      <c r="C111" t="s">
        <v>383</v>
      </c>
      <c r="D111" t="s">
        <v>384</v>
      </c>
      <c r="E111" t="s">
        <v>385</v>
      </c>
      <c r="F111" t="s">
        <v>36</v>
      </c>
      <c r="G111">
        <v>5</v>
      </c>
      <c r="H111">
        <v>91.26</v>
      </c>
      <c r="I111">
        <v>-456300</v>
      </c>
      <c r="J111">
        <v>12.5</v>
      </c>
      <c r="K111">
        <v>91.262500000000003</v>
      </c>
      <c r="L111">
        <v>-456312.5</v>
      </c>
      <c r="M111" t="s">
        <v>384</v>
      </c>
      <c r="N111" t="s">
        <v>383</v>
      </c>
    </row>
    <row r="112" spans="1:14" x14ac:dyDescent="0.25">
      <c r="A112" s="18">
        <v>45796</v>
      </c>
      <c r="B112" t="s">
        <v>289</v>
      </c>
      <c r="C112" t="s">
        <v>358</v>
      </c>
      <c r="D112" t="s">
        <v>359</v>
      </c>
      <c r="E112" t="s">
        <v>360</v>
      </c>
      <c r="F112" t="s">
        <v>21</v>
      </c>
      <c r="G112">
        <v>3922</v>
      </c>
      <c r="H112">
        <v>20.421099999999999</v>
      </c>
      <c r="I112">
        <v>-80091.554199999999</v>
      </c>
      <c r="J112">
        <v>445.46</v>
      </c>
      <c r="K112">
        <v>20.534679806221316</v>
      </c>
      <c r="L112">
        <v>-80537.014200000005</v>
      </c>
      <c r="M112" t="s">
        <v>359</v>
      </c>
      <c r="N112" t="s">
        <v>358</v>
      </c>
    </row>
    <row r="113" spans="1:14" x14ac:dyDescent="0.25">
      <c r="A113" s="18">
        <v>45796</v>
      </c>
      <c r="B113" t="s">
        <v>289</v>
      </c>
      <c r="C113" t="s">
        <v>358</v>
      </c>
      <c r="D113" t="s">
        <v>359</v>
      </c>
      <c r="E113" t="s">
        <v>360</v>
      </c>
      <c r="F113" t="s">
        <v>21</v>
      </c>
      <c r="G113">
        <v>2463</v>
      </c>
      <c r="H113">
        <v>20.4238</v>
      </c>
      <c r="I113">
        <v>-50303.8194</v>
      </c>
      <c r="J113">
        <v>296.52</v>
      </c>
      <c r="K113">
        <v>20.544189768574906</v>
      </c>
      <c r="L113">
        <v>-50600.339399999997</v>
      </c>
      <c r="M113" t="s">
        <v>359</v>
      </c>
      <c r="N113" t="s">
        <v>358</v>
      </c>
    </row>
    <row r="114" spans="1:14" x14ac:dyDescent="0.25">
      <c r="A114" s="18">
        <v>45796</v>
      </c>
      <c r="B114" t="s">
        <v>289</v>
      </c>
      <c r="C114" t="s">
        <v>316</v>
      </c>
      <c r="D114" t="s">
        <v>317</v>
      </c>
      <c r="E114" t="s">
        <v>274</v>
      </c>
      <c r="F114" t="s">
        <v>21</v>
      </c>
      <c r="G114">
        <v>1796</v>
      </c>
      <c r="H114">
        <v>55.641800000000003</v>
      </c>
      <c r="I114">
        <v>-99932.6728</v>
      </c>
      <c r="J114">
        <v>144.93</v>
      </c>
      <c r="K114">
        <v>55.722495991091307</v>
      </c>
      <c r="L114">
        <v>-100077.60279999999</v>
      </c>
      <c r="M114" t="s">
        <v>317</v>
      </c>
      <c r="N114" t="s">
        <v>316</v>
      </c>
    </row>
    <row r="115" spans="1:14" x14ac:dyDescent="0.25">
      <c r="A115" s="18">
        <v>45796</v>
      </c>
      <c r="B115" t="s">
        <v>289</v>
      </c>
      <c r="C115" t="s">
        <v>318</v>
      </c>
      <c r="D115" t="s">
        <v>22</v>
      </c>
      <c r="E115" t="s">
        <v>23</v>
      </c>
      <c r="F115" t="s">
        <v>21</v>
      </c>
      <c r="G115">
        <v>1657</v>
      </c>
      <c r="H115">
        <v>30.307300000000001</v>
      </c>
      <c r="I115">
        <v>-50219.196100000001</v>
      </c>
      <c r="J115">
        <v>296.10000000000002</v>
      </c>
      <c r="K115">
        <v>30.48599643934822</v>
      </c>
      <c r="L115">
        <v>-50515.2961</v>
      </c>
      <c r="M115" t="s">
        <v>22</v>
      </c>
      <c r="N115" t="s">
        <v>318</v>
      </c>
    </row>
    <row r="116" spans="1:14" x14ac:dyDescent="0.25">
      <c r="A116" s="18">
        <v>45796</v>
      </c>
      <c r="B116" t="s">
        <v>289</v>
      </c>
      <c r="C116" t="s">
        <v>380</v>
      </c>
      <c r="D116" t="s">
        <v>381</v>
      </c>
      <c r="E116" t="s">
        <v>382</v>
      </c>
      <c r="F116" t="s">
        <v>21</v>
      </c>
      <c r="G116">
        <v>31</v>
      </c>
      <c r="H116">
        <v>2535</v>
      </c>
      <c r="I116">
        <v>-78585</v>
      </c>
      <c r="J116">
        <v>390.77</v>
      </c>
      <c r="K116">
        <v>2547.6054838709679</v>
      </c>
      <c r="L116">
        <v>-78975.77</v>
      </c>
      <c r="M116" t="s">
        <v>381</v>
      </c>
      <c r="N116" t="s">
        <v>380</v>
      </c>
    </row>
    <row r="117" spans="1:14" x14ac:dyDescent="0.25">
      <c r="A117" s="18">
        <v>45796</v>
      </c>
      <c r="B117" t="s">
        <v>289</v>
      </c>
      <c r="C117" t="s">
        <v>380</v>
      </c>
      <c r="D117" t="s">
        <v>381</v>
      </c>
      <c r="E117" t="s">
        <v>382</v>
      </c>
      <c r="F117" t="s">
        <v>21</v>
      </c>
      <c r="G117">
        <v>31</v>
      </c>
      <c r="H117">
        <v>2524</v>
      </c>
      <c r="I117">
        <v>-78244</v>
      </c>
      <c r="J117">
        <v>436.22</v>
      </c>
      <c r="K117">
        <v>2538.0716129032257</v>
      </c>
      <c r="L117">
        <v>-78680.22</v>
      </c>
      <c r="M117" t="s">
        <v>381</v>
      </c>
      <c r="N117" t="s">
        <v>380</v>
      </c>
    </row>
    <row r="118" spans="1:14" x14ac:dyDescent="0.25">
      <c r="A118" s="18">
        <v>45796</v>
      </c>
      <c r="B118" t="s">
        <v>289</v>
      </c>
      <c r="C118" t="s">
        <v>386</v>
      </c>
      <c r="D118" t="s">
        <v>60</v>
      </c>
      <c r="E118" t="s">
        <v>387</v>
      </c>
      <c r="F118" t="s">
        <v>21</v>
      </c>
      <c r="G118">
        <v>6648</v>
      </c>
      <c r="H118">
        <v>45.129300000000001</v>
      </c>
      <c r="I118">
        <v>-300019.58640000003</v>
      </c>
      <c r="J118">
        <v>296.52</v>
      </c>
      <c r="K118">
        <v>45.173902888086651</v>
      </c>
      <c r="L118">
        <v>-300316.10640000005</v>
      </c>
      <c r="M118" t="s">
        <v>60</v>
      </c>
      <c r="N118" t="s">
        <v>386</v>
      </c>
    </row>
    <row r="119" spans="1:14" x14ac:dyDescent="0.25">
      <c r="A119" s="18">
        <v>45796</v>
      </c>
      <c r="B119" t="s">
        <v>289</v>
      </c>
      <c r="C119" t="s">
        <v>388</v>
      </c>
      <c r="D119" t="s">
        <v>389</v>
      </c>
      <c r="E119" t="s">
        <v>390</v>
      </c>
      <c r="F119" t="s">
        <v>21</v>
      </c>
      <c r="G119">
        <v>4</v>
      </c>
      <c r="H119">
        <v>119.89</v>
      </c>
      <c r="I119">
        <v>-479560</v>
      </c>
      <c r="J119">
        <v>12</v>
      </c>
      <c r="K119">
        <v>119.893</v>
      </c>
      <c r="L119">
        <v>-479572</v>
      </c>
      <c r="M119" t="s">
        <v>389</v>
      </c>
      <c r="N119" t="s">
        <v>388</v>
      </c>
    </row>
    <row r="120" spans="1:14" x14ac:dyDescent="0.25">
      <c r="A120" s="18">
        <v>45796</v>
      </c>
      <c r="B120" t="s">
        <v>289</v>
      </c>
      <c r="C120" t="s">
        <v>342</v>
      </c>
      <c r="D120" t="s">
        <v>343</v>
      </c>
      <c r="E120" t="s">
        <v>282</v>
      </c>
      <c r="F120" t="s">
        <v>21</v>
      </c>
      <c r="G120">
        <v>797</v>
      </c>
      <c r="H120">
        <v>100.1</v>
      </c>
      <c r="I120">
        <v>-79779.7</v>
      </c>
      <c r="J120">
        <v>443.9</v>
      </c>
      <c r="K120">
        <v>100.6569636135508</v>
      </c>
      <c r="L120">
        <v>-80223.599999999991</v>
      </c>
      <c r="M120" t="s">
        <v>343</v>
      </c>
      <c r="N120" t="s">
        <v>342</v>
      </c>
    </row>
    <row r="121" spans="1:14" x14ac:dyDescent="0.25">
      <c r="A121" s="18">
        <v>45796</v>
      </c>
      <c r="B121" t="s">
        <v>289</v>
      </c>
      <c r="C121" t="s">
        <v>375</v>
      </c>
      <c r="D121" t="s">
        <v>376</v>
      </c>
      <c r="E121" t="s">
        <v>377</v>
      </c>
      <c r="F121" t="s">
        <v>21</v>
      </c>
      <c r="G121">
        <v>4240</v>
      </c>
      <c r="H121">
        <v>18.855599999999999</v>
      </c>
      <c r="I121">
        <v>-79947.743999999992</v>
      </c>
      <c r="J121">
        <v>444.74</v>
      </c>
      <c r="K121">
        <v>18.960491509433961</v>
      </c>
      <c r="L121">
        <v>-80392.483999999997</v>
      </c>
      <c r="M121" t="s">
        <v>376</v>
      </c>
      <c r="N121" t="s">
        <v>375</v>
      </c>
    </row>
    <row r="122" spans="1:14" x14ac:dyDescent="0.25">
      <c r="A122" s="18">
        <v>45796</v>
      </c>
      <c r="B122" t="s">
        <v>289</v>
      </c>
      <c r="C122" t="s">
        <v>375</v>
      </c>
      <c r="D122" t="s">
        <v>376</v>
      </c>
      <c r="E122" t="s">
        <v>377</v>
      </c>
      <c r="F122" t="s">
        <v>21</v>
      </c>
      <c r="G122">
        <v>2699</v>
      </c>
      <c r="H122">
        <v>18.575399999999998</v>
      </c>
      <c r="I122">
        <v>-50135.004599999993</v>
      </c>
      <c r="J122">
        <v>295.68</v>
      </c>
      <c r="K122">
        <v>18.684951685809558</v>
      </c>
      <c r="L122">
        <v>-50430.684599999993</v>
      </c>
      <c r="M122" t="s">
        <v>376</v>
      </c>
      <c r="N122" t="s">
        <v>375</v>
      </c>
    </row>
    <row r="123" spans="1:14" x14ac:dyDescent="0.25">
      <c r="A123" s="18">
        <v>45796</v>
      </c>
      <c r="B123" t="s">
        <v>289</v>
      </c>
      <c r="C123" t="s">
        <v>354</v>
      </c>
      <c r="D123" t="s">
        <v>355</v>
      </c>
      <c r="E123" t="s">
        <v>356</v>
      </c>
      <c r="F123" t="s">
        <v>21</v>
      </c>
      <c r="G123">
        <v>544</v>
      </c>
      <c r="H123">
        <v>183.70529999999999</v>
      </c>
      <c r="I123">
        <v>-99935.683199999999</v>
      </c>
      <c r="J123">
        <v>544.67999999999995</v>
      </c>
      <c r="K123">
        <v>184.70654999999999</v>
      </c>
      <c r="L123">
        <v>-100480.36319999999</v>
      </c>
      <c r="M123" t="s">
        <v>355</v>
      </c>
      <c r="N123" t="s">
        <v>354</v>
      </c>
    </row>
    <row r="124" spans="1:14" x14ac:dyDescent="0.25">
      <c r="A124" s="18">
        <v>45797</v>
      </c>
      <c r="B124" t="s">
        <v>289</v>
      </c>
      <c r="C124" t="s">
        <v>334</v>
      </c>
      <c r="D124" t="s">
        <v>335</v>
      </c>
      <c r="E124" t="s">
        <v>252</v>
      </c>
      <c r="F124" t="s">
        <v>21</v>
      </c>
      <c r="G124">
        <v>1040</v>
      </c>
      <c r="H124">
        <v>57.69</v>
      </c>
      <c r="I124">
        <v>-59997.599999999999</v>
      </c>
      <c r="J124">
        <v>129</v>
      </c>
      <c r="K124">
        <v>57.814038461538459</v>
      </c>
      <c r="L124">
        <v>-60126.6</v>
      </c>
      <c r="M124" t="s">
        <v>335</v>
      </c>
      <c r="N124" t="s">
        <v>334</v>
      </c>
    </row>
    <row r="125" spans="1:14" x14ac:dyDescent="0.25">
      <c r="A125" s="18">
        <v>45797</v>
      </c>
      <c r="B125" t="s">
        <v>289</v>
      </c>
      <c r="C125" t="s">
        <v>316</v>
      </c>
      <c r="D125" t="s">
        <v>317</v>
      </c>
      <c r="E125" t="s">
        <v>274</v>
      </c>
      <c r="F125" t="s">
        <v>21</v>
      </c>
      <c r="G125">
        <v>1774</v>
      </c>
      <c r="H125">
        <v>56.371200000000002</v>
      </c>
      <c r="I125">
        <v>-100002.5088</v>
      </c>
      <c r="J125">
        <v>85</v>
      </c>
      <c r="K125">
        <v>56.41911431792559</v>
      </c>
      <c r="L125">
        <v>-100087.5088</v>
      </c>
      <c r="M125" t="s">
        <v>317</v>
      </c>
      <c r="N125" t="s">
        <v>316</v>
      </c>
    </row>
    <row r="126" spans="1:14" x14ac:dyDescent="0.25">
      <c r="A126" s="18">
        <v>45797</v>
      </c>
      <c r="B126" t="s">
        <v>289</v>
      </c>
      <c r="C126" t="s">
        <v>339</v>
      </c>
      <c r="D126" t="s">
        <v>340</v>
      </c>
      <c r="E126" t="s">
        <v>341</v>
      </c>
      <c r="F126" t="s">
        <v>21</v>
      </c>
      <c r="G126">
        <v>215</v>
      </c>
      <c r="H126">
        <v>185.5</v>
      </c>
      <c r="I126">
        <v>-39882.5</v>
      </c>
      <c r="J126">
        <v>60.95</v>
      </c>
      <c r="K126">
        <v>185.78348837209302</v>
      </c>
      <c r="L126">
        <v>-39943.449999999997</v>
      </c>
      <c r="M126" t="s">
        <v>340</v>
      </c>
      <c r="N126" t="s">
        <v>339</v>
      </c>
    </row>
    <row r="127" spans="1:14" x14ac:dyDescent="0.25">
      <c r="A127" s="18">
        <v>45797</v>
      </c>
      <c r="B127" t="s">
        <v>289</v>
      </c>
      <c r="C127" t="s">
        <v>388</v>
      </c>
      <c r="D127" t="s">
        <v>389</v>
      </c>
      <c r="E127" t="s">
        <v>390</v>
      </c>
      <c r="F127" t="s">
        <v>21</v>
      </c>
      <c r="G127">
        <v>5</v>
      </c>
      <c r="H127">
        <v>120.11</v>
      </c>
      <c r="I127">
        <v>-600550</v>
      </c>
      <c r="J127">
        <v>15</v>
      </c>
      <c r="K127">
        <v>120.113</v>
      </c>
      <c r="L127">
        <v>-600565</v>
      </c>
      <c r="M127" t="s">
        <v>389</v>
      </c>
      <c r="N127" t="s">
        <v>388</v>
      </c>
    </row>
    <row r="128" spans="1:14" x14ac:dyDescent="0.25">
      <c r="A128" s="18">
        <v>45797</v>
      </c>
      <c r="B128" t="s">
        <v>289</v>
      </c>
      <c r="C128" t="s">
        <v>342</v>
      </c>
      <c r="D128" t="s">
        <v>343</v>
      </c>
      <c r="E128" t="s">
        <v>282</v>
      </c>
      <c r="F128" t="s">
        <v>21</v>
      </c>
      <c r="G128">
        <v>987</v>
      </c>
      <c r="H128">
        <v>101.85299999999999</v>
      </c>
      <c r="I128">
        <v>-100528.91099999999</v>
      </c>
      <c r="J128">
        <v>487.33</v>
      </c>
      <c r="K128">
        <v>102.34674873353596</v>
      </c>
      <c r="L128">
        <v>-101016.24099999999</v>
      </c>
      <c r="M128" t="s">
        <v>343</v>
      </c>
      <c r="N128" t="s">
        <v>342</v>
      </c>
    </row>
    <row r="129" spans="1:14" x14ac:dyDescent="0.25">
      <c r="A129" s="18">
        <v>45797</v>
      </c>
      <c r="B129" t="s">
        <v>289</v>
      </c>
      <c r="C129" t="s">
        <v>354</v>
      </c>
      <c r="D129" t="s">
        <v>355</v>
      </c>
      <c r="E129" t="s">
        <v>356</v>
      </c>
      <c r="F129" t="s">
        <v>21</v>
      </c>
      <c r="G129">
        <v>537</v>
      </c>
      <c r="H129">
        <v>186.0316</v>
      </c>
      <c r="I129">
        <v>-99898.969199999992</v>
      </c>
      <c r="J129">
        <v>484.56</v>
      </c>
      <c r="K129">
        <v>186.93394636871506</v>
      </c>
      <c r="L129">
        <v>-100383.52919999999</v>
      </c>
      <c r="M129" t="s">
        <v>355</v>
      </c>
      <c r="N129" t="s">
        <v>354</v>
      </c>
    </row>
    <row r="130" spans="1:14" x14ac:dyDescent="0.25">
      <c r="A130" s="18">
        <v>45797</v>
      </c>
      <c r="B130" t="s">
        <v>289</v>
      </c>
      <c r="C130" t="s">
        <v>331</v>
      </c>
      <c r="D130" t="s">
        <v>332</v>
      </c>
      <c r="E130" t="s">
        <v>333</v>
      </c>
      <c r="F130" t="s">
        <v>21</v>
      </c>
      <c r="G130">
        <v>37</v>
      </c>
      <c r="H130">
        <v>1622.1838</v>
      </c>
      <c r="I130">
        <v>-60020.800600000002</v>
      </c>
      <c r="J130">
        <v>69.010000000000005</v>
      </c>
      <c r="K130">
        <v>1624.0489351351353</v>
      </c>
      <c r="L130">
        <v>-60089.810600000004</v>
      </c>
      <c r="M130" t="s">
        <v>332</v>
      </c>
      <c r="N130" t="s">
        <v>331</v>
      </c>
    </row>
    <row r="131" spans="1:14" x14ac:dyDescent="0.25">
      <c r="A131" s="18">
        <v>45798</v>
      </c>
      <c r="B131" t="s">
        <v>289</v>
      </c>
      <c r="C131" t="s">
        <v>290</v>
      </c>
      <c r="D131" t="s">
        <v>45</v>
      </c>
      <c r="E131" t="s">
        <v>46</v>
      </c>
      <c r="F131" t="s">
        <v>21</v>
      </c>
      <c r="G131">
        <v>1806</v>
      </c>
      <c r="H131">
        <v>44.46</v>
      </c>
      <c r="I131">
        <v>-80294.759999999995</v>
      </c>
      <c r="J131">
        <v>398.3</v>
      </c>
      <c r="K131">
        <v>44.680542635658917</v>
      </c>
      <c r="L131">
        <v>-80693.06</v>
      </c>
      <c r="M131" t="s">
        <v>45</v>
      </c>
      <c r="N131" t="s">
        <v>290</v>
      </c>
    </row>
    <row r="132" spans="1:14" x14ac:dyDescent="0.25">
      <c r="A132" s="18">
        <v>45799</v>
      </c>
      <c r="B132" t="s">
        <v>289</v>
      </c>
      <c r="C132" t="s">
        <v>350</v>
      </c>
      <c r="D132" t="s">
        <v>351</v>
      </c>
      <c r="E132" t="s">
        <v>352</v>
      </c>
      <c r="F132" t="s">
        <v>21</v>
      </c>
      <c r="G132">
        <v>3000</v>
      </c>
      <c r="H132">
        <v>32.880000000000003</v>
      </c>
      <c r="I132">
        <v>-98640.000000000015</v>
      </c>
      <c r="J132">
        <v>143.63999999999999</v>
      </c>
      <c r="K132">
        <v>32.927880000000002</v>
      </c>
      <c r="L132">
        <v>-98783.640000000014</v>
      </c>
      <c r="M132" t="s">
        <v>351</v>
      </c>
      <c r="N132" t="s">
        <v>350</v>
      </c>
    </row>
    <row r="133" spans="1:14" x14ac:dyDescent="0.25">
      <c r="A133" s="18">
        <v>45799</v>
      </c>
      <c r="B133" t="s">
        <v>289</v>
      </c>
      <c r="C133" t="s">
        <v>316</v>
      </c>
      <c r="D133" t="s">
        <v>317</v>
      </c>
      <c r="E133" t="s">
        <v>274</v>
      </c>
      <c r="F133" t="s">
        <v>21</v>
      </c>
      <c r="G133">
        <v>1000</v>
      </c>
      <c r="H133">
        <v>56.815300000000001</v>
      </c>
      <c r="I133">
        <v>-56815.3</v>
      </c>
      <c r="J133">
        <v>101.82</v>
      </c>
      <c r="K133">
        <v>56.917120000000004</v>
      </c>
      <c r="L133">
        <v>-56917.120000000003</v>
      </c>
      <c r="M133" t="s">
        <v>317</v>
      </c>
      <c r="N133" t="s">
        <v>316</v>
      </c>
    </row>
    <row r="134" spans="1:14" x14ac:dyDescent="0.25">
      <c r="A134" s="18">
        <v>45799</v>
      </c>
      <c r="B134" t="s">
        <v>289</v>
      </c>
      <c r="C134" t="s">
        <v>380</v>
      </c>
      <c r="D134" t="s">
        <v>381</v>
      </c>
      <c r="E134" t="s">
        <v>391</v>
      </c>
      <c r="F134" t="s">
        <v>21</v>
      </c>
      <c r="G134">
        <v>24</v>
      </c>
      <c r="H134">
        <v>2423.5</v>
      </c>
      <c r="I134">
        <v>-58164</v>
      </c>
      <c r="J134">
        <v>300.93</v>
      </c>
      <c r="K134">
        <v>2436.0387500000002</v>
      </c>
      <c r="L134">
        <v>-58464.93</v>
      </c>
      <c r="M134" t="s">
        <v>381</v>
      </c>
      <c r="N134" t="s">
        <v>380</v>
      </c>
    </row>
    <row r="135" spans="1:14" x14ac:dyDescent="0.25">
      <c r="A135" s="18">
        <v>45799</v>
      </c>
      <c r="B135" t="s">
        <v>319</v>
      </c>
      <c r="C135" t="s">
        <v>339</v>
      </c>
      <c r="D135" t="s">
        <v>340</v>
      </c>
      <c r="E135" t="s">
        <v>341</v>
      </c>
      <c r="F135" t="s">
        <v>21</v>
      </c>
      <c r="G135">
        <v>-1342</v>
      </c>
      <c r="H135">
        <v>180.2064</v>
      </c>
      <c r="I135">
        <v>241836.98879999999</v>
      </c>
      <c r="J135">
        <v>286.83999999999997</v>
      </c>
      <c r="K135">
        <v>179.99265931445603</v>
      </c>
      <c r="L135">
        <v>241550.1488</v>
      </c>
      <c r="M135" t="s">
        <v>340</v>
      </c>
      <c r="N135" t="s">
        <v>339</v>
      </c>
    </row>
    <row r="136" spans="1:14" x14ac:dyDescent="0.25">
      <c r="A136" s="18">
        <v>45799</v>
      </c>
      <c r="B136" t="s">
        <v>289</v>
      </c>
      <c r="C136" t="s">
        <v>301</v>
      </c>
      <c r="D136" t="s">
        <v>120</v>
      </c>
      <c r="E136" t="s">
        <v>302</v>
      </c>
      <c r="F136" t="s">
        <v>21</v>
      </c>
      <c r="G136">
        <v>224</v>
      </c>
      <c r="H136">
        <v>267.77999999999997</v>
      </c>
      <c r="I136">
        <v>-59982.719999999994</v>
      </c>
      <c r="J136">
        <v>50.94</v>
      </c>
      <c r="K136">
        <v>268.0074107142857</v>
      </c>
      <c r="L136">
        <v>-60033.659999999996</v>
      </c>
      <c r="M136" t="s">
        <v>120</v>
      </c>
      <c r="N136" t="s">
        <v>301</v>
      </c>
    </row>
    <row r="137" spans="1:14" x14ac:dyDescent="0.25">
      <c r="A137" s="18">
        <v>45799</v>
      </c>
      <c r="B137" t="s">
        <v>319</v>
      </c>
      <c r="C137" t="s">
        <v>368</v>
      </c>
      <c r="D137" t="s">
        <v>369</v>
      </c>
      <c r="E137" t="s">
        <v>370</v>
      </c>
      <c r="F137" t="s">
        <v>21</v>
      </c>
      <c r="G137">
        <v>-2</v>
      </c>
      <c r="H137">
        <v>23949</v>
      </c>
      <c r="I137">
        <v>239490</v>
      </c>
      <c r="J137">
        <v>6</v>
      </c>
      <c r="K137">
        <v>23948.400000000001</v>
      </c>
      <c r="L137">
        <v>239484</v>
      </c>
      <c r="M137" t="s">
        <v>369</v>
      </c>
      <c r="N137" t="s">
        <v>368</v>
      </c>
    </row>
    <row r="138" spans="1:14" x14ac:dyDescent="0.25">
      <c r="A138" s="18">
        <v>45799</v>
      </c>
      <c r="B138" t="s">
        <v>319</v>
      </c>
      <c r="C138" t="s">
        <v>342</v>
      </c>
      <c r="D138" t="s">
        <v>343</v>
      </c>
      <c r="E138" t="s">
        <v>282</v>
      </c>
      <c r="F138" t="s">
        <v>21</v>
      </c>
      <c r="G138">
        <v>-2490</v>
      </c>
      <c r="H138">
        <v>97.487899999999996</v>
      </c>
      <c r="I138">
        <v>242744.87099999998</v>
      </c>
      <c r="J138">
        <v>287.74</v>
      </c>
      <c r="K138">
        <v>97.372341767068264</v>
      </c>
      <c r="L138">
        <v>242457.13099999999</v>
      </c>
      <c r="M138" t="s">
        <v>343</v>
      </c>
      <c r="N138" t="s">
        <v>342</v>
      </c>
    </row>
    <row r="139" spans="1:14" x14ac:dyDescent="0.25">
      <c r="A139" s="18">
        <v>45799</v>
      </c>
      <c r="B139" t="s">
        <v>289</v>
      </c>
      <c r="C139" t="s">
        <v>392</v>
      </c>
      <c r="D139" t="s">
        <v>393</v>
      </c>
      <c r="E139" t="s">
        <v>394</v>
      </c>
      <c r="F139" t="s">
        <v>157</v>
      </c>
      <c r="G139">
        <v>7500</v>
      </c>
      <c r="H139">
        <v>102.9842</v>
      </c>
      <c r="I139">
        <v>-772381.5</v>
      </c>
      <c r="J139">
        <v>1108.06</v>
      </c>
      <c r="K139">
        <v>103.13194133333334</v>
      </c>
      <c r="L139">
        <v>-773489.56</v>
      </c>
      <c r="M139" t="s">
        <v>393</v>
      </c>
      <c r="N139" t="s">
        <v>392</v>
      </c>
    </row>
    <row r="140" spans="1:14" x14ac:dyDescent="0.25">
      <c r="A140" s="18">
        <v>45800</v>
      </c>
      <c r="B140" t="s">
        <v>289</v>
      </c>
      <c r="C140" t="s">
        <v>290</v>
      </c>
      <c r="D140" t="s">
        <v>45</v>
      </c>
      <c r="E140" t="s">
        <v>46</v>
      </c>
      <c r="F140" t="s">
        <v>21</v>
      </c>
      <c r="G140">
        <v>2218</v>
      </c>
      <c r="H140">
        <v>45.197499999999998</v>
      </c>
      <c r="I140">
        <v>-100248.05499999999</v>
      </c>
      <c r="J140">
        <v>546.24</v>
      </c>
      <c r="K140">
        <v>45.443775924256087</v>
      </c>
      <c r="L140">
        <v>-100794.295</v>
      </c>
      <c r="M140" t="s">
        <v>45</v>
      </c>
      <c r="N140" t="s">
        <v>290</v>
      </c>
    </row>
    <row r="141" spans="1:14" x14ac:dyDescent="0.25">
      <c r="A141" s="18">
        <v>45800</v>
      </c>
      <c r="B141" t="s">
        <v>289</v>
      </c>
      <c r="C141" t="s">
        <v>361</v>
      </c>
      <c r="D141" t="s">
        <v>93</v>
      </c>
      <c r="E141" t="s">
        <v>94</v>
      </c>
      <c r="F141" t="s">
        <v>21</v>
      </c>
      <c r="G141">
        <v>610</v>
      </c>
      <c r="H141">
        <v>82.179500000000004</v>
      </c>
      <c r="I141">
        <v>-50129.495000000003</v>
      </c>
      <c r="J141">
        <v>95.13</v>
      </c>
      <c r="K141">
        <v>82.335450819672133</v>
      </c>
      <c r="L141">
        <v>-50224.625</v>
      </c>
      <c r="M141" t="s">
        <v>93</v>
      </c>
      <c r="N141" t="s">
        <v>361</v>
      </c>
    </row>
    <row r="142" spans="1:14" x14ac:dyDescent="0.25">
      <c r="A142" s="18">
        <v>45800</v>
      </c>
      <c r="B142" t="s">
        <v>289</v>
      </c>
      <c r="C142" t="s">
        <v>311</v>
      </c>
      <c r="D142" t="s">
        <v>312</v>
      </c>
      <c r="E142" t="s">
        <v>313</v>
      </c>
      <c r="F142" t="s">
        <v>21</v>
      </c>
      <c r="G142">
        <v>196</v>
      </c>
      <c r="H142">
        <v>254.95</v>
      </c>
      <c r="I142">
        <v>-49970.2</v>
      </c>
      <c r="J142">
        <v>294.85000000000002</v>
      </c>
      <c r="K142">
        <v>256.45433673469387</v>
      </c>
      <c r="L142">
        <v>-50265.049999999996</v>
      </c>
      <c r="M142" t="s">
        <v>312</v>
      </c>
      <c r="N142" t="s">
        <v>311</v>
      </c>
    </row>
    <row r="143" spans="1:14" x14ac:dyDescent="0.25">
      <c r="A143" s="18">
        <v>45800</v>
      </c>
      <c r="B143" t="s">
        <v>289</v>
      </c>
      <c r="C143" t="s">
        <v>380</v>
      </c>
      <c r="D143" t="s">
        <v>381</v>
      </c>
      <c r="E143" t="s">
        <v>391</v>
      </c>
      <c r="F143" t="s">
        <v>21</v>
      </c>
      <c r="G143">
        <v>17</v>
      </c>
      <c r="H143">
        <v>2353</v>
      </c>
      <c r="I143">
        <v>-40001</v>
      </c>
      <c r="J143">
        <v>245</v>
      </c>
      <c r="K143">
        <v>2367.4117647058824</v>
      </c>
      <c r="L143">
        <v>-40246</v>
      </c>
      <c r="M143" t="s">
        <v>381</v>
      </c>
      <c r="N143" t="s">
        <v>380</v>
      </c>
    </row>
    <row r="144" spans="1:14" x14ac:dyDescent="0.25">
      <c r="A144" s="18">
        <v>45800</v>
      </c>
      <c r="B144" t="s">
        <v>289</v>
      </c>
      <c r="C144" t="s">
        <v>325</v>
      </c>
      <c r="D144" t="s">
        <v>47</v>
      </c>
      <c r="E144" t="s">
        <v>272</v>
      </c>
      <c r="F144" t="s">
        <v>395</v>
      </c>
      <c r="G144">
        <v>610</v>
      </c>
      <c r="H144">
        <v>69.946720999999997</v>
      </c>
      <c r="I144">
        <v>-42667.499810000001</v>
      </c>
      <c r="J144">
        <v>508.64</v>
      </c>
      <c r="K144">
        <v>70.780557065573774</v>
      </c>
      <c r="L144">
        <v>-43176.139810000001</v>
      </c>
      <c r="M144" t="s">
        <v>47</v>
      </c>
      <c r="N144" t="s">
        <v>325</v>
      </c>
    </row>
    <row r="145" spans="1:14" x14ac:dyDescent="0.25">
      <c r="A145" s="18">
        <v>45800</v>
      </c>
      <c r="B145" t="s">
        <v>289</v>
      </c>
      <c r="C145" t="s">
        <v>392</v>
      </c>
      <c r="D145" t="s">
        <v>393</v>
      </c>
      <c r="E145" t="s">
        <v>394</v>
      </c>
      <c r="F145" t="s">
        <v>157</v>
      </c>
      <c r="G145">
        <v>3700</v>
      </c>
      <c r="H145">
        <v>101.65649999999999</v>
      </c>
      <c r="I145">
        <v>-376129.05</v>
      </c>
      <c r="J145">
        <v>711.8</v>
      </c>
      <c r="K145">
        <v>101.84887837837837</v>
      </c>
      <c r="L145">
        <v>-376840.85</v>
      </c>
      <c r="M145" t="s">
        <v>393</v>
      </c>
      <c r="N145" t="s">
        <v>392</v>
      </c>
    </row>
    <row r="146" spans="1:14" x14ac:dyDescent="0.25">
      <c r="A146" s="18">
        <v>45800</v>
      </c>
      <c r="B146" t="s">
        <v>289</v>
      </c>
      <c r="C146" t="s">
        <v>375</v>
      </c>
      <c r="D146" t="s">
        <v>376</v>
      </c>
      <c r="E146" t="s">
        <v>377</v>
      </c>
      <c r="F146" t="s">
        <v>21</v>
      </c>
      <c r="G146">
        <v>2673</v>
      </c>
      <c r="H146">
        <v>18.648299999999999</v>
      </c>
      <c r="I146">
        <v>-49846.905899999998</v>
      </c>
      <c r="J146">
        <v>294.24</v>
      </c>
      <c r="K146">
        <v>18.758378563411895</v>
      </c>
      <c r="L146">
        <v>-50141.145899999996</v>
      </c>
      <c r="M146" t="s">
        <v>376</v>
      </c>
      <c r="N146" t="s">
        <v>375</v>
      </c>
    </row>
    <row r="147" spans="1:14" x14ac:dyDescent="0.25">
      <c r="A147" s="18">
        <v>45803</v>
      </c>
      <c r="B147" t="s">
        <v>289</v>
      </c>
      <c r="C147" t="s">
        <v>308</v>
      </c>
      <c r="D147" t="s">
        <v>309</v>
      </c>
      <c r="E147" t="s">
        <v>310</v>
      </c>
      <c r="F147" t="s">
        <v>21</v>
      </c>
      <c r="G147">
        <v>2971</v>
      </c>
      <c r="H147">
        <v>15.37</v>
      </c>
      <c r="I147">
        <v>-45664.27</v>
      </c>
      <c r="J147">
        <v>245.93</v>
      </c>
      <c r="K147">
        <v>15.452776842813867</v>
      </c>
      <c r="L147">
        <v>-45910.2</v>
      </c>
      <c r="M147" t="s">
        <v>309</v>
      </c>
      <c r="N147" t="s">
        <v>308</v>
      </c>
    </row>
    <row r="148" spans="1:14" x14ac:dyDescent="0.25">
      <c r="A148" s="18">
        <v>45803</v>
      </c>
      <c r="B148" t="s">
        <v>289</v>
      </c>
      <c r="C148" t="s">
        <v>314</v>
      </c>
      <c r="D148" t="s">
        <v>315</v>
      </c>
      <c r="E148" t="s">
        <v>264</v>
      </c>
      <c r="F148" t="s">
        <v>21</v>
      </c>
      <c r="G148">
        <v>2098</v>
      </c>
      <c r="H148">
        <v>23.8</v>
      </c>
      <c r="I148">
        <v>-49932.4</v>
      </c>
      <c r="J148">
        <v>565.54</v>
      </c>
      <c r="K148">
        <v>24.069561487130603</v>
      </c>
      <c r="L148">
        <v>-50497.94</v>
      </c>
      <c r="M148" t="s">
        <v>315</v>
      </c>
      <c r="N148" t="s">
        <v>314</v>
      </c>
    </row>
    <row r="149" spans="1:14" x14ac:dyDescent="0.25">
      <c r="A149" s="18">
        <v>45803</v>
      </c>
      <c r="B149" t="s">
        <v>289</v>
      </c>
      <c r="C149" t="s">
        <v>358</v>
      </c>
      <c r="D149" t="s">
        <v>359</v>
      </c>
      <c r="E149" t="s">
        <v>360</v>
      </c>
      <c r="F149" t="s">
        <v>21</v>
      </c>
      <c r="G149">
        <v>2421</v>
      </c>
      <c r="H149">
        <v>20.7</v>
      </c>
      <c r="I149">
        <v>-50114.7</v>
      </c>
      <c r="J149">
        <v>265.51</v>
      </c>
      <c r="K149">
        <v>20.809669558033871</v>
      </c>
      <c r="L149">
        <v>-50380.21</v>
      </c>
      <c r="M149" t="s">
        <v>359</v>
      </c>
      <c r="N149" t="s">
        <v>358</v>
      </c>
    </row>
    <row r="150" spans="1:14" x14ac:dyDescent="0.25">
      <c r="A150" s="18">
        <v>45803</v>
      </c>
      <c r="B150" t="s">
        <v>289</v>
      </c>
      <c r="C150" t="s">
        <v>301</v>
      </c>
      <c r="D150" t="s">
        <v>120</v>
      </c>
      <c r="E150" t="s">
        <v>302</v>
      </c>
      <c r="F150" t="s">
        <v>21</v>
      </c>
      <c r="G150">
        <v>258</v>
      </c>
      <c r="H150">
        <v>269.09699999999998</v>
      </c>
      <c r="I150">
        <v>-69427.025999999998</v>
      </c>
      <c r="J150">
        <v>45</v>
      </c>
      <c r="K150">
        <v>269.27141860465116</v>
      </c>
      <c r="L150">
        <v>-69472.025999999998</v>
      </c>
      <c r="M150" t="s">
        <v>120</v>
      </c>
      <c r="N150" t="s">
        <v>301</v>
      </c>
    </row>
    <row r="151" spans="1:14" x14ac:dyDescent="0.25">
      <c r="A151" s="18">
        <v>45803</v>
      </c>
      <c r="B151" t="s">
        <v>289</v>
      </c>
      <c r="C151" t="s">
        <v>392</v>
      </c>
      <c r="D151" t="s">
        <v>393</v>
      </c>
      <c r="E151" t="s">
        <v>394</v>
      </c>
      <c r="F151" t="s">
        <v>157</v>
      </c>
      <c r="G151">
        <v>3700</v>
      </c>
      <c r="H151">
        <v>101.2</v>
      </c>
      <c r="I151">
        <v>-374440</v>
      </c>
      <c r="J151">
        <v>485.35</v>
      </c>
      <c r="K151">
        <v>101.33117567567567</v>
      </c>
      <c r="L151">
        <v>-374925.35</v>
      </c>
      <c r="M151" t="s">
        <v>393</v>
      </c>
      <c r="N151" t="s">
        <v>392</v>
      </c>
    </row>
    <row r="152" spans="1:14" x14ac:dyDescent="0.25">
      <c r="A152" s="18">
        <v>45803</v>
      </c>
      <c r="B152" t="s">
        <v>289</v>
      </c>
      <c r="C152" t="s">
        <v>354</v>
      </c>
      <c r="D152" t="s">
        <v>355</v>
      </c>
      <c r="E152" t="s">
        <v>356</v>
      </c>
      <c r="F152" t="s">
        <v>21</v>
      </c>
      <c r="G152">
        <v>272</v>
      </c>
      <c r="H152">
        <v>185.09</v>
      </c>
      <c r="I152">
        <v>-50344.480000000003</v>
      </c>
      <c r="J152">
        <v>266.52</v>
      </c>
      <c r="K152">
        <v>186.06985294117646</v>
      </c>
      <c r="L152">
        <v>-50611</v>
      </c>
      <c r="M152" t="s">
        <v>355</v>
      </c>
      <c r="N152" t="s">
        <v>354</v>
      </c>
    </row>
    <row r="153" spans="1:14" x14ac:dyDescent="0.25">
      <c r="A153" s="18">
        <v>45804</v>
      </c>
      <c r="B153" t="s">
        <v>289</v>
      </c>
      <c r="C153" t="s">
        <v>396</v>
      </c>
      <c r="D153" t="s">
        <v>397</v>
      </c>
      <c r="E153" t="s">
        <v>398</v>
      </c>
      <c r="F153" t="s">
        <v>49</v>
      </c>
      <c r="G153">
        <v>5</v>
      </c>
      <c r="H153">
        <v>110.32810000000001</v>
      </c>
      <c r="I153">
        <v>-551640.5</v>
      </c>
      <c r="J153">
        <v>22.5</v>
      </c>
      <c r="K153">
        <v>110.3326</v>
      </c>
      <c r="L153">
        <v>-551663</v>
      </c>
      <c r="M153" t="s">
        <v>397</v>
      </c>
      <c r="N153" t="s">
        <v>396</v>
      </c>
    </row>
    <row r="154" spans="1:14" x14ac:dyDescent="0.25">
      <c r="A154" s="18">
        <v>45804</v>
      </c>
      <c r="B154" t="s">
        <v>319</v>
      </c>
      <c r="C154" t="s">
        <v>364</v>
      </c>
      <c r="D154" t="s">
        <v>365</v>
      </c>
      <c r="E154" t="s">
        <v>366</v>
      </c>
      <c r="F154" t="s">
        <v>49</v>
      </c>
      <c r="G154">
        <v>-5</v>
      </c>
      <c r="H154">
        <v>110.2891</v>
      </c>
      <c r="I154">
        <v>551445.5</v>
      </c>
      <c r="J154">
        <v>22.5</v>
      </c>
      <c r="K154">
        <v>110.28460000000001</v>
      </c>
      <c r="L154">
        <v>551423</v>
      </c>
      <c r="M154" t="s">
        <v>365</v>
      </c>
      <c r="N154" t="s">
        <v>364</v>
      </c>
    </row>
    <row r="155" spans="1:14" x14ac:dyDescent="0.25">
      <c r="A155" s="18">
        <v>45804</v>
      </c>
      <c r="B155" t="s">
        <v>399</v>
      </c>
      <c r="C155" t="s">
        <v>383</v>
      </c>
      <c r="D155" t="s">
        <v>384</v>
      </c>
      <c r="E155" t="s">
        <v>400</v>
      </c>
      <c r="F155" t="s">
        <v>36</v>
      </c>
      <c r="G155">
        <v>-5</v>
      </c>
      <c r="H155">
        <v>91.52</v>
      </c>
      <c r="I155">
        <v>457599.99999999994</v>
      </c>
      <c r="J155">
        <v>12.5</v>
      </c>
      <c r="K155">
        <v>91.517499999999984</v>
      </c>
      <c r="L155">
        <v>457587.49999999994</v>
      </c>
      <c r="M155" t="s">
        <v>384</v>
      </c>
      <c r="N155" t="s">
        <v>383</v>
      </c>
    </row>
    <row r="156" spans="1:14" x14ac:dyDescent="0.25">
      <c r="A156" s="18">
        <v>45804</v>
      </c>
      <c r="B156" t="s">
        <v>289</v>
      </c>
      <c r="C156" t="s">
        <v>401</v>
      </c>
      <c r="D156" t="s">
        <v>402</v>
      </c>
      <c r="E156" t="s">
        <v>403</v>
      </c>
      <c r="F156" t="s">
        <v>36</v>
      </c>
      <c r="G156">
        <v>5</v>
      </c>
      <c r="H156">
        <v>91.53</v>
      </c>
      <c r="I156">
        <v>-457650</v>
      </c>
      <c r="J156">
        <v>12.5</v>
      </c>
      <c r="K156">
        <v>91.532499999999999</v>
      </c>
      <c r="L156">
        <v>-457662.5</v>
      </c>
      <c r="M156" t="s">
        <v>402</v>
      </c>
      <c r="N156" t="s">
        <v>401</v>
      </c>
    </row>
    <row r="157" spans="1:14" x14ac:dyDescent="0.25">
      <c r="A157" s="18">
        <v>45804</v>
      </c>
      <c r="B157" t="s">
        <v>289</v>
      </c>
      <c r="C157" t="s">
        <v>404</v>
      </c>
      <c r="D157" t="s">
        <v>405</v>
      </c>
      <c r="E157" t="s">
        <v>261</v>
      </c>
      <c r="F157" t="s">
        <v>21</v>
      </c>
      <c r="G157">
        <v>908</v>
      </c>
      <c r="H157">
        <v>44.848500000000001</v>
      </c>
      <c r="I157">
        <v>-40722.438000000002</v>
      </c>
      <c r="J157">
        <v>224.18</v>
      </c>
      <c r="K157">
        <v>45.095394273127759</v>
      </c>
      <c r="L157">
        <v>-40946.618000000002</v>
      </c>
      <c r="M157" t="s">
        <v>405</v>
      </c>
      <c r="N157" t="s">
        <v>404</v>
      </c>
    </row>
    <row r="158" spans="1:14" x14ac:dyDescent="0.25">
      <c r="A158" s="18">
        <v>45804</v>
      </c>
      <c r="B158" t="s">
        <v>289</v>
      </c>
      <c r="C158" t="s">
        <v>323</v>
      </c>
      <c r="D158" t="s">
        <v>39</v>
      </c>
      <c r="E158" t="s">
        <v>324</v>
      </c>
      <c r="F158" t="s">
        <v>36</v>
      </c>
      <c r="G158">
        <v>4450</v>
      </c>
      <c r="H158">
        <v>10.97</v>
      </c>
      <c r="I158">
        <v>-48816.5</v>
      </c>
      <c r="J158">
        <v>302.87</v>
      </c>
      <c r="K158">
        <v>11.038060674157304</v>
      </c>
      <c r="L158">
        <v>-49119.37</v>
      </c>
      <c r="M158" t="s">
        <v>39</v>
      </c>
      <c r="N158" t="s">
        <v>323</v>
      </c>
    </row>
    <row r="159" spans="1:14" x14ac:dyDescent="0.25">
      <c r="A159" s="18">
        <v>45804</v>
      </c>
      <c r="B159" t="s">
        <v>289</v>
      </c>
      <c r="C159" t="s">
        <v>406</v>
      </c>
      <c r="D159" t="s">
        <v>407</v>
      </c>
      <c r="E159" t="s">
        <v>408</v>
      </c>
      <c r="F159" t="s">
        <v>21</v>
      </c>
      <c r="G159">
        <v>3</v>
      </c>
      <c r="H159">
        <v>120.39</v>
      </c>
      <c r="I159">
        <v>-361170</v>
      </c>
      <c r="J159">
        <v>9</v>
      </c>
      <c r="K159">
        <v>120.393</v>
      </c>
      <c r="L159">
        <v>-361179</v>
      </c>
      <c r="M159" t="s">
        <v>407</v>
      </c>
      <c r="N159" t="s">
        <v>406</v>
      </c>
    </row>
    <row r="160" spans="1:14" x14ac:dyDescent="0.25">
      <c r="A160" s="18">
        <v>45804</v>
      </c>
      <c r="B160" t="s">
        <v>319</v>
      </c>
      <c r="C160" t="s">
        <v>409</v>
      </c>
      <c r="D160" t="s">
        <v>410</v>
      </c>
      <c r="E160" t="s">
        <v>411</v>
      </c>
      <c r="F160" t="s">
        <v>137</v>
      </c>
      <c r="G160">
        <v>-2</v>
      </c>
      <c r="H160">
        <v>162.93</v>
      </c>
      <c r="I160">
        <v>40732500</v>
      </c>
      <c r="J160">
        <v>1200</v>
      </c>
      <c r="K160">
        <v>162.92519999999999</v>
      </c>
      <c r="L160">
        <v>40731300</v>
      </c>
      <c r="M160" t="s">
        <v>410</v>
      </c>
      <c r="N160" t="s">
        <v>409</v>
      </c>
    </row>
    <row r="161" spans="1:14" x14ac:dyDescent="0.25">
      <c r="A161" s="18">
        <v>45804</v>
      </c>
      <c r="B161" t="s">
        <v>289</v>
      </c>
      <c r="C161" t="s">
        <v>412</v>
      </c>
      <c r="D161" t="s">
        <v>413</v>
      </c>
      <c r="E161" t="s">
        <v>414</v>
      </c>
      <c r="F161" t="s">
        <v>49</v>
      </c>
      <c r="G161">
        <v>676</v>
      </c>
      <c r="H161">
        <v>171.94</v>
      </c>
      <c r="I161">
        <v>-116231.44</v>
      </c>
      <c r="J161">
        <v>97.37</v>
      </c>
      <c r="K161">
        <v>172.08403846153846</v>
      </c>
      <c r="L161">
        <v>-116328.81</v>
      </c>
      <c r="M161" t="s">
        <v>413</v>
      </c>
      <c r="N161" t="s">
        <v>412</v>
      </c>
    </row>
    <row r="162" spans="1:14" x14ac:dyDescent="0.25">
      <c r="A162" s="18">
        <v>45805</v>
      </c>
      <c r="B162" t="s">
        <v>319</v>
      </c>
      <c r="C162" t="s">
        <v>328</v>
      </c>
      <c r="D162" t="s">
        <v>329</v>
      </c>
      <c r="E162" t="s">
        <v>330</v>
      </c>
      <c r="F162" t="s">
        <v>21</v>
      </c>
      <c r="G162">
        <v>-42</v>
      </c>
      <c r="H162">
        <v>1923</v>
      </c>
      <c r="I162">
        <v>80766</v>
      </c>
      <c r="J162">
        <v>77.31</v>
      </c>
      <c r="K162">
        <v>1921.1592857142857</v>
      </c>
      <c r="L162">
        <v>80688.69</v>
      </c>
      <c r="M162" t="s">
        <v>329</v>
      </c>
      <c r="N162" t="s">
        <v>328</v>
      </c>
    </row>
    <row r="163" spans="1:14" x14ac:dyDescent="0.25">
      <c r="A163" s="18">
        <v>45805</v>
      </c>
      <c r="B163" t="s">
        <v>319</v>
      </c>
      <c r="C163" t="s">
        <v>328</v>
      </c>
      <c r="D163" t="s">
        <v>329</v>
      </c>
      <c r="E163" t="s">
        <v>330</v>
      </c>
      <c r="F163" t="s">
        <v>21</v>
      </c>
      <c r="G163">
        <v>-29</v>
      </c>
      <c r="H163">
        <v>1917</v>
      </c>
      <c r="I163">
        <v>55593</v>
      </c>
      <c r="J163">
        <v>100.59</v>
      </c>
      <c r="K163">
        <v>1913.5313793103448</v>
      </c>
      <c r="L163">
        <v>55492.41</v>
      </c>
      <c r="M163" t="s">
        <v>329</v>
      </c>
      <c r="N163" t="s">
        <v>328</v>
      </c>
    </row>
    <row r="164" spans="1:14" x14ac:dyDescent="0.25">
      <c r="A164" s="18">
        <v>45805</v>
      </c>
      <c r="B164" t="s">
        <v>289</v>
      </c>
      <c r="C164" t="s">
        <v>415</v>
      </c>
      <c r="D164" t="s">
        <v>416</v>
      </c>
      <c r="E164" t="s">
        <v>417</v>
      </c>
      <c r="F164" t="s">
        <v>157</v>
      </c>
      <c r="G164">
        <v>1283</v>
      </c>
      <c r="H164">
        <v>462.625</v>
      </c>
      <c r="I164">
        <v>-593547.875</v>
      </c>
      <c r="J164">
        <v>572.96</v>
      </c>
      <c r="K164">
        <v>463.07157833203428</v>
      </c>
      <c r="L164">
        <v>-594120.83499999996</v>
      </c>
      <c r="M164" t="s">
        <v>416</v>
      </c>
      <c r="N164" t="s">
        <v>415</v>
      </c>
    </row>
    <row r="165" spans="1:14" x14ac:dyDescent="0.25">
      <c r="A165" s="18">
        <v>45805</v>
      </c>
      <c r="B165" t="s">
        <v>289</v>
      </c>
      <c r="C165" t="s">
        <v>415</v>
      </c>
      <c r="D165" t="s">
        <v>416</v>
      </c>
      <c r="E165" t="s">
        <v>417</v>
      </c>
      <c r="F165" t="s">
        <v>157</v>
      </c>
      <c r="G165">
        <v>869</v>
      </c>
      <c r="H165">
        <v>462.05849999999998</v>
      </c>
      <c r="I165">
        <v>-401528.83649999998</v>
      </c>
      <c r="J165">
        <v>737.07</v>
      </c>
      <c r="K165">
        <v>462.90668181818182</v>
      </c>
      <c r="L165">
        <v>-402265.90649999998</v>
      </c>
      <c r="M165" t="s">
        <v>416</v>
      </c>
      <c r="N165" t="s">
        <v>415</v>
      </c>
    </row>
    <row r="166" spans="1:14" x14ac:dyDescent="0.25">
      <c r="A166" s="18">
        <v>45805</v>
      </c>
      <c r="B166" t="s">
        <v>289</v>
      </c>
      <c r="C166" t="s">
        <v>386</v>
      </c>
      <c r="D166" t="s">
        <v>60</v>
      </c>
      <c r="E166" t="s">
        <v>387</v>
      </c>
      <c r="F166" t="s">
        <v>21</v>
      </c>
      <c r="G166">
        <v>1077</v>
      </c>
      <c r="H166">
        <v>45.615000000000002</v>
      </c>
      <c r="I166">
        <v>-49127.355000000003</v>
      </c>
      <c r="J166">
        <v>64.650000000000006</v>
      </c>
      <c r="K166">
        <v>45.675027855153211</v>
      </c>
      <c r="L166">
        <v>-49192.005000000005</v>
      </c>
      <c r="M166" t="s">
        <v>60</v>
      </c>
      <c r="N166" t="s">
        <v>386</v>
      </c>
    </row>
    <row r="167" spans="1:14" x14ac:dyDescent="0.25">
      <c r="A167" s="18">
        <v>45810</v>
      </c>
      <c r="B167" t="s">
        <v>289</v>
      </c>
      <c r="C167" t="s">
        <v>331</v>
      </c>
      <c r="D167" t="s">
        <v>332</v>
      </c>
      <c r="E167" t="s">
        <v>333</v>
      </c>
      <c r="F167" t="s">
        <v>21</v>
      </c>
      <c r="G167">
        <v>49</v>
      </c>
      <c r="H167">
        <v>1634.9673</v>
      </c>
      <c r="I167">
        <v>-80113.397700000001</v>
      </c>
      <c r="J167">
        <v>77.05</v>
      </c>
      <c r="K167">
        <v>1636.5397489795919</v>
      </c>
      <c r="L167">
        <v>-80190.447700000004</v>
      </c>
      <c r="M167" t="s">
        <v>332</v>
      </c>
      <c r="N167" t="s">
        <v>331</v>
      </c>
    </row>
    <row r="168" spans="1:14" x14ac:dyDescent="0.25">
      <c r="A168" s="18">
        <v>45811</v>
      </c>
      <c r="B168" t="s">
        <v>319</v>
      </c>
      <c r="C168" t="s">
        <v>418</v>
      </c>
      <c r="D168" t="s">
        <v>419</v>
      </c>
      <c r="E168" t="s">
        <v>420</v>
      </c>
      <c r="F168" t="s">
        <v>49</v>
      </c>
      <c r="G168">
        <v>-1</v>
      </c>
      <c r="H168">
        <v>112.28125</v>
      </c>
      <c r="I168">
        <v>112281.25</v>
      </c>
      <c r="J168">
        <v>4.5</v>
      </c>
      <c r="K168">
        <v>112.27675000000001</v>
      </c>
      <c r="L168">
        <v>112276.75</v>
      </c>
      <c r="M168" t="s">
        <v>419</v>
      </c>
      <c r="N168" t="s">
        <v>418</v>
      </c>
    </row>
    <row r="169" spans="1:14" x14ac:dyDescent="0.25">
      <c r="A169" s="18">
        <v>45811</v>
      </c>
      <c r="B169" t="s">
        <v>289</v>
      </c>
      <c r="C169" t="s">
        <v>421</v>
      </c>
      <c r="D169" t="s">
        <v>422</v>
      </c>
      <c r="E169" t="s">
        <v>423</v>
      </c>
      <c r="F169" t="s">
        <v>49</v>
      </c>
      <c r="G169">
        <v>1104</v>
      </c>
      <c r="H169">
        <v>83.069100000000006</v>
      </c>
      <c r="I169">
        <v>-91708.286400000012</v>
      </c>
      <c r="J169">
        <v>142.83000000000001</v>
      </c>
      <c r="K169">
        <v>83.198475000000016</v>
      </c>
      <c r="L169">
        <v>-91851.116400000014</v>
      </c>
      <c r="M169" t="s">
        <v>422</v>
      </c>
      <c r="N169" t="s">
        <v>421</v>
      </c>
    </row>
    <row r="170" spans="1:14" x14ac:dyDescent="0.25">
      <c r="A170" s="18">
        <v>45811</v>
      </c>
      <c r="B170" t="s">
        <v>319</v>
      </c>
      <c r="C170" t="s">
        <v>311</v>
      </c>
      <c r="D170" t="s">
        <v>312</v>
      </c>
      <c r="E170" t="s">
        <v>313</v>
      </c>
      <c r="F170" t="s">
        <v>21</v>
      </c>
      <c r="G170">
        <v>-1148</v>
      </c>
      <c r="H170">
        <v>263.82979999999998</v>
      </c>
      <c r="I170">
        <v>302876.61039999995</v>
      </c>
      <c r="J170">
        <v>347.88</v>
      </c>
      <c r="K170">
        <v>263.52676864111493</v>
      </c>
      <c r="L170">
        <v>302528.73039999994</v>
      </c>
      <c r="M170" t="s">
        <v>312</v>
      </c>
      <c r="N170" t="s">
        <v>311</v>
      </c>
    </row>
    <row r="171" spans="1:14" x14ac:dyDescent="0.25">
      <c r="A171" s="18">
        <v>45811</v>
      </c>
      <c r="B171" t="s">
        <v>289</v>
      </c>
      <c r="C171" t="s">
        <v>424</v>
      </c>
      <c r="D171" t="s">
        <v>41</v>
      </c>
      <c r="E171" t="s">
        <v>42</v>
      </c>
      <c r="F171" t="s">
        <v>36</v>
      </c>
      <c r="G171">
        <v>28650</v>
      </c>
      <c r="H171">
        <v>8.9124999999999996</v>
      </c>
      <c r="I171">
        <v>-255343.125</v>
      </c>
      <c r="J171">
        <v>1572.69</v>
      </c>
      <c r="K171">
        <v>8.9673931937172782</v>
      </c>
      <c r="L171">
        <v>-256915.815</v>
      </c>
      <c r="M171" t="s">
        <v>41</v>
      </c>
      <c r="N171" t="s">
        <v>424</v>
      </c>
    </row>
    <row r="172" spans="1:14" x14ac:dyDescent="0.25">
      <c r="A172" s="18">
        <v>45811</v>
      </c>
      <c r="B172" t="s">
        <v>289</v>
      </c>
      <c r="C172" t="s">
        <v>306</v>
      </c>
      <c r="D172" t="s">
        <v>112</v>
      </c>
      <c r="E172" t="s">
        <v>307</v>
      </c>
      <c r="F172" t="s">
        <v>21</v>
      </c>
      <c r="G172">
        <v>2366</v>
      </c>
      <c r="H172">
        <v>127</v>
      </c>
      <c r="I172">
        <v>-300482</v>
      </c>
      <c r="J172">
        <v>50</v>
      </c>
      <c r="K172">
        <v>127.02113271344041</v>
      </c>
      <c r="L172">
        <v>-300532</v>
      </c>
      <c r="M172" t="s">
        <v>112</v>
      </c>
      <c r="N172" t="s">
        <v>306</v>
      </c>
    </row>
    <row r="173" spans="1:14" x14ac:dyDescent="0.25">
      <c r="A173" s="18">
        <v>45811</v>
      </c>
      <c r="B173" t="s">
        <v>289</v>
      </c>
      <c r="C173" t="s">
        <v>425</v>
      </c>
      <c r="D173" t="s">
        <v>426</v>
      </c>
      <c r="E173" t="s">
        <v>427</v>
      </c>
      <c r="F173" t="s">
        <v>49</v>
      </c>
      <c r="G173">
        <v>22560</v>
      </c>
      <c r="H173">
        <v>15.325699999999999</v>
      </c>
      <c r="I173">
        <v>-345747.79200000002</v>
      </c>
      <c r="J173">
        <v>223.99</v>
      </c>
      <c r="K173">
        <v>15.335628634751773</v>
      </c>
      <c r="L173">
        <v>-345971.78200000001</v>
      </c>
      <c r="M173" t="s">
        <v>426</v>
      </c>
      <c r="N173" t="s">
        <v>425</v>
      </c>
    </row>
    <row r="174" spans="1:14" x14ac:dyDescent="0.25">
      <c r="A174" s="18">
        <v>45811</v>
      </c>
      <c r="B174" t="s">
        <v>289</v>
      </c>
      <c r="C174" t="s">
        <v>318</v>
      </c>
      <c r="D174" t="s">
        <v>22</v>
      </c>
      <c r="E174" t="s">
        <v>23</v>
      </c>
      <c r="F174" t="s">
        <v>21</v>
      </c>
      <c r="G174">
        <v>1761</v>
      </c>
      <c r="H174">
        <v>28.456600000000002</v>
      </c>
      <c r="I174">
        <v>-50112.0726</v>
      </c>
      <c r="J174">
        <v>295.56</v>
      </c>
      <c r="K174">
        <v>28.624436456558772</v>
      </c>
      <c r="L174">
        <v>-50407.632599999997</v>
      </c>
      <c r="M174" t="s">
        <v>22</v>
      </c>
      <c r="N174" t="s">
        <v>318</v>
      </c>
    </row>
    <row r="175" spans="1:14" x14ac:dyDescent="0.25">
      <c r="A175" s="18">
        <v>45811</v>
      </c>
      <c r="B175" t="s">
        <v>289</v>
      </c>
      <c r="C175" t="s">
        <v>386</v>
      </c>
      <c r="D175" t="s">
        <v>60</v>
      </c>
      <c r="E175" t="s">
        <v>387</v>
      </c>
      <c r="F175" t="s">
        <v>21</v>
      </c>
      <c r="G175">
        <v>1343</v>
      </c>
      <c r="H175">
        <v>44.618400000000001</v>
      </c>
      <c r="I175">
        <v>-59922.511200000001</v>
      </c>
      <c r="J175">
        <v>104.92</v>
      </c>
      <c r="K175">
        <v>44.696523603871931</v>
      </c>
      <c r="L175">
        <v>-60027.431199999999</v>
      </c>
      <c r="M175" t="s">
        <v>60</v>
      </c>
      <c r="N175" t="s">
        <v>386</v>
      </c>
    </row>
    <row r="176" spans="1:14" x14ac:dyDescent="0.25">
      <c r="A176" s="18">
        <v>45811</v>
      </c>
      <c r="B176" t="s">
        <v>289</v>
      </c>
      <c r="C176" t="s">
        <v>428</v>
      </c>
      <c r="D176" t="s">
        <v>429</v>
      </c>
      <c r="E176" t="s">
        <v>430</v>
      </c>
      <c r="F176" t="s">
        <v>21</v>
      </c>
      <c r="G176">
        <v>6</v>
      </c>
      <c r="H176">
        <v>131.1</v>
      </c>
      <c r="I176">
        <v>-786599.99999999988</v>
      </c>
      <c r="J176">
        <v>18</v>
      </c>
      <c r="K176">
        <v>131.10299999999998</v>
      </c>
      <c r="L176">
        <v>-786617.99999999988</v>
      </c>
      <c r="M176" t="s">
        <v>429</v>
      </c>
      <c r="N176" t="s">
        <v>428</v>
      </c>
    </row>
    <row r="177" spans="1:14" x14ac:dyDescent="0.25">
      <c r="A177" s="18">
        <v>45811</v>
      </c>
      <c r="B177" t="s">
        <v>319</v>
      </c>
      <c r="C177" t="s">
        <v>344</v>
      </c>
      <c r="D177" t="s">
        <v>345</v>
      </c>
      <c r="E177" t="s">
        <v>367</v>
      </c>
      <c r="F177" t="s">
        <v>21</v>
      </c>
      <c r="G177">
        <v>-6</v>
      </c>
      <c r="H177">
        <v>131.29</v>
      </c>
      <c r="I177">
        <v>787740</v>
      </c>
      <c r="J177">
        <v>18</v>
      </c>
      <c r="K177">
        <v>131.28700000000001</v>
      </c>
      <c r="L177">
        <v>787722</v>
      </c>
      <c r="M177" t="s">
        <v>345</v>
      </c>
      <c r="N177" t="s">
        <v>344</v>
      </c>
    </row>
    <row r="178" spans="1:14" x14ac:dyDescent="0.25">
      <c r="A178" s="18">
        <v>45811</v>
      </c>
      <c r="B178" t="s">
        <v>289</v>
      </c>
      <c r="C178" t="s">
        <v>406</v>
      </c>
      <c r="D178" t="s">
        <v>407</v>
      </c>
      <c r="E178" t="s">
        <v>431</v>
      </c>
      <c r="F178" t="s">
        <v>21</v>
      </c>
      <c r="G178">
        <v>9</v>
      </c>
      <c r="H178">
        <v>120.83</v>
      </c>
      <c r="I178">
        <v>-1087470</v>
      </c>
      <c r="J178">
        <v>27</v>
      </c>
      <c r="K178">
        <v>120.833</v>
      </c>
      <c r="L178">
        <v>-1087497</v>
      </c>
      <c r="M178" t="s">
        <v>407</v>
      </c>
      <c r="N178" t="s">
        <v>406</v>
      </c>
    </row>
    <row r="179" spans="1:14" x14ac:dyDescent="0.25">
      <c r="A179" s="18">
        <v>45811</v>
      </c>
      <c r="B179" t="s">
        <v>319</v>
      </c>
      <c r="C179" t="s">
        <v>388</v>
      </c>
      <c r="D179" t="s">
        <v>389</v>
      </c>
      <c r="E179" t="s">
        <v>390</v>
      </c>
      <c r="F179" t="s">
        <v>21</v>
      </c>
      <c r="G179">
        <v>-9</v>
      </c>
      <c r="H179">
        <v>121.26</v>
      </c>
      <c r="I179">
        <v>1091340.0000000002</v>
      </c>
      <c r="J179">
        <v>27</v>
      </c>
      <c r="K179">
        <v>121.25700000000003</v>
      </c>
      <c r="L179">
        <v>1091313.0000000002</v>
      </c>
      <c r="M179" t="s">
        <v>389</v>
      </c>
      <c r="N179" t="s">
        <v>388</v>
      </c>
    </row>
    <row r="180" spans="1:14" x14ac:dyDescent="0.25">
      <c r="A180" s="18">
        <v>45817</v>
      </c>
      <c r="B180" t="s">
        <v>289</v>
      </c>
      <c r="C180" t="s">
        <v>361</v>
      </c>
      <c r="D180" t="s">
        <v>93</v>
      </c>
      <c r="E180" t="s">
        <v>94</v>
      </c>
      <c r="F180" t="s">
        <v>21</v>
      </c>
      <c r="G180">
        <v>812</v>
      </c>
      <c r="H180">
        <v>86.103099999999998</v>
      </c>
      <c r="I180">
        <v>-69915.717199999999</v>
      </c>
      <c r="J180">
        <v>27.97</v>
      </c>
      <c r="K180">
        <v>86.137545812807886</v>
      </c>
      <c r="L180">
        <v>-69943.6872</v>
      </c>
      <c r="M180" t="s">
        <v>93</v>
      </c>
      <c r="N180" t="s">
        <v>361</v>
      </c>
    </row>
    <row r="181" spans="1:14" x14ac:dyDescent="0.25">
      <c r="A181" s="18">
        <v>45818</v>
      </c>
      <c r="B181" t="s">
        <v>289</v>
      </c>
      <c r="C181" t="s">
        <v>432</v>
      </c>
      <c r="D181" t="s">
        <v>433</v>
      </c>
      <c r="E181" t="s">
        <v>434</v>
      </c>
      <c r="F181" t="s">
        <v>82</v>
      </c>
      <c r="G181">
        <v>998</v>
      </c>
      <c r="H181">
        <v>267.99020000000002</v>
      </c>
      <c r="I181">
        <v>-267454.21960000001</v>
      </c>
      <c r="J181">
        <v>267.45</v>
      </c>
      <c r="K181">
        <v>268.25818597194393</v>
      </c>
      <c r="L181">
        <v>-267721.66960000002</v>
      </c>
      <c r="M181" t="s">
        <v>433</v>
      </c>
      <c r="N181" t="s">
        <v>432</v>
      </c>
    </row>
    <row r="182" spans="1:14" x14ac:dyDescent="0.25">
      <c r="A182" s="18">
        <v>45818</v>
      </c>
      <c r="B182" t="s">
        <v>319</v>
      </c>
      <c r="C182" t="s">
        <v>354</v>
      </c>
      <c r="D182" t="s">
        <v>355</v>
      </c>
      <c r="E182" t="s">
        <v>356</v>
      </c>
      <c r="F182" t="s">
        <v>21</v>
      </c>
      <c r="G182">
        <v>-1563</v>
      </c>
      <c r="H182">
        <v>182.26910000000001</v>
      </c>
      <c r="I182">
        <v>284886.60330000002</v>
      </c>
      <c r="J182">
        <v>284.89</v>
      </c>
      <c r="K182">
        <v>182.08682872680743</v>
      </c>
      <c r="L182">
        <v>284601.7133</v>
      </c>
      <c r="M182" t="s">
        <v>355</v>
      </c>
      <c r="N182" t="s">
        <v>354</v>
      </c>
    </row>
    <row r="183" spans="1:14" x14ac:dyDescent="0.25">
      <c r="A183" s="18">
        <v>45819</v>
      </c>
      <c r="B183" t="s">
        <v>319</v>
      </c>
      <c r="C183" t="s">
        <v>334</v>
      </c>
      <c r="D183" t="s">
        <v>335</v>
      </c>
      <c r="E183" t="s">
        <v>252</v>
      </c>
      <c r="F183" t="s">
        <v>21</v>
      </c>
      <c r="G183">
        <v>-1886</v>
      </c>
      <c r="H183">
        <v>56.73</v>
      </c>
      <c r="I183">
        <v>106992.78</v>
      </c>
      <c r="J183">
        <v>106.99</v>
      </c>
      <c r="K183">
        <v>56.673271474019081</v>
      </c>
      <c r="L183">
        <v>106885.79</v>
      </c>
      <c r="M183" t="s">
        <v>335</v>
      </c>
      <c r="N183" t="s">
        <v>334</v>
      </c>
    </row>
    <row r="184" spans="1:14" x14ac:dyDescent="0.25">
      <c r="A184" s="18">
        <v>45819</v>
      </c>
      <c r="B184" t="s">
        <v>289</v>
      </c>
      <c r="C184" t="s">
        <v>415</v>
      </c>
      <c r="D184" t="s">
        <v>416</v>
      </c>
      <c r="E184" t="s">
        <v>417</v>
      </c>
      <c r="F184" t="s">
        <v>157</v>
      </c>
      <c r="G184">
        <v>867</v>
      </c>
      <c r="H184">
        <v>515.99609999999996</v>
      </c>
      <c r="I184">
        <v>-447368.61869999993</v>
      </c>
      <c r="J184">
        <v>447.37</v>
      </c>
      <c r="K184">
        <v>516.51209769319485</v>
      </c>
      <c r="L184">
        <v>-447815.98869999993</v>
      </c>
      <c r="M184" t="s">
        <v>416</v>
      </c>
      <c r="N184" t="s">
        <v>415</v>
      </c>
    </row>
    <row r="185" spans="1:14" x14ac:dyDescent="0.25">
      <c r="A185" s="18">
        <v>45819</v>
      </c>
      <c r="B185" t="s">
        <v>319</v>
      </c>
      <c r="C185" t="s">
        <v>425</v>
      </c>
      <c r="D185" t="s">
        <v>426</v>
      </c>
      <c r="E185" t="s">
        <v>427</v>
      </c>
      <c r="F185" t="s">
        <v>49</v>
      </c>
      <c r="G185">
        <v>-22560</v>
      </c>
      <c r="H185">
        <v>18.307500000000001</v>
      </c>
      <c r="I185">
        <v>413017.2</v>
      </c>
      <c r="J185">
        <v>206.51</v>
      </c>
      <c r="K185">
        <v>18.298346187943263</v>
      </c>
      <c r="L185">
        <v>412810.69</v>
      </c>
      <c r="M185" t="s">
        <v>426</v>
      </c>
      <c r="N185" t="s">
        <v>425</v>
      </c>
    </row>
    <row r="186" spans="1:14" x14ac:dyDescent="0.25">
      <c r="A186" s="18">
        <v>45819</v>
      </c>
      <c r="B186" t="s">
        <v>289</v>
      </c>
      <c r="C186" t="s">
        <v>301</v>
      </c>
      <c r="D186" t="s">
        <v>120</v>
      </c>
      <c r="E186" t="s">
        <v>363</v>
      </c>
      <c r="F186" t="s">
        <v>21</v>
      </c>
      <c r="G186">
        <v>562</v>
      </c>
      <c r="H186">
        <v>266.56</v>
      </c>
      <c r="I186">
        <v>-149806.72</v>
      </c>
      <c r="J186">
        <v>74.900000000000006</v>
      </c>
      <c r="K186">
        <v>266.69327402135229</v>
      </c>
      <c r="L186">
        <v>-149881.62</v>
      </c>
      <c r="M186" t="s">
        <v>120</v>
      </c>
      <c r="N186" t="s">
        <v>301</v>
      </c>
    </row>
    <row r="187" spans="1:14" x14ac:dyDescent="0.25">
      <c r="A187" s="18">
        <v>45819</v>
      </c>
      <c r="B187" t="s">
        <v>289</v>
      </c>
      <c r="C187" t="s">
        <v>435</v>
      </c>
      <c r="D187" t="s">
        <v>99</v>
      </c>
      <c r="E187" t="s">
        <v>100</v>
      </c>
      <c r="F187" t="s">
        <v>21</v>
      </c>
      <c r="G187">
        <v>15360</v>
      </c>
      <c r="H187">
        <v>6.9454000000000002</v>
      </c>
      <c r="I187">
        <v>-106681.344</v>
      </c>
      <c r="J187">
        <v>320.04000000000002</v>
      </c>
      <c r="K187">
        <v>6.9662359374999996</v>
      </c>
      <c r="L187">
        <v>-107001.38399999999</v>
      </c>
      <c r="M187" t="s">
        <v>99</v>
      </c>
      <c r="N187" t="s">
        <v>435</v>
      </c>
    </row>
    <row r="188" spans="1:14" x14ac:dyDescent="0.25">
      <c r="A188" s="18">
        <v>45820</v>
      </c>
      <c r="B188" t="s">
        <v>289</v>
      </c>
      <c r="C188" t="s">
        <v>314</v>
      </c>
      <c r="D188" t="s">
        <v>315</v>
      </c>
      <c r="E188" t="s">
        <v>362</v>
      </c>
      <c r="F188" t="s">
        <v>21</v>
      </c>
      <c r="G188">
        <v>2088</v>
      </c>
      <c r="H188">
        <v>23.92</v>
      </c>
      <c r="I188">
        <v>-49944.960000000006</v>
      </c>
      <c r="J188">
        <v>550.64</v>
      </c>
      <c r="K188">
        <v>24.183716475095789</v>
      </c>
      <c r="L188">
        <v>-50495.600000000006</v>
      </c>
      <c r="M188" t="s">
        <v>315</v>
      </c>
      <c r="N188" t="s">
        <v>314</v>
      </c>
    </row>
    <row r="189" spans="1:14" x14ac:dyDescent="0.25">
      <c r="A189" s="18">
        <v>45820</v>
      </c>
      <c r="B189" t="s">
        <v>289</v>
      </c>
      <c r="C189" t="s">
        <v>314</v>
      </c>
      <c r="D189" t="s">
        <v>315</v>
      </c>
      <c r="E189" t="s">
        <v>362</v>
      </c>
      <c r="F189" t="s">
        <v>21</v>
      </c>
      <c r="G189">
        <v>1674</v>
      </c>
      <c r="H189">
        <v>23.86</v>
      </c>
      <c r="I189">
        <v>-39941.64</v>
      </c>
      <c r="J189">
        <v>440.61</v>
      </c>
      <c r="K189">
        <v>24.123207885304659</v>
      </c>
      <c r="L189">
        <v>-40382.25</v>
      </c>
      <c r="M189" t="s">
        <v>315</v>
      </c>
      <c r="N189" t="s">
        <v>314</v>
      </c>
    </row>
    <row r="190" spans="1:14" x14ac:dyDescent="0.25">
      <c r="A190" s="18">
        <v>45820</v>
      </c>
      <c r="B190" t="s">
        <v>289</v>
      </c>
      <c r="C190" t="s">
        <v>436</v>
      </c>
      <c r="D190" t="s">
        <v>437</v>
      </c>
      <c r="E190" t="s">
        <v>262</v>
      </c>
      <c r="F190" t="s">
        <v>21</v>
      </c>
      <c r="G190">
        <v>3432</v>
      </c>
      <c r="H190">
        <v>29.072299999999998</v>
      </c>
      <c r="I190">
        <v>-99776.133600000001</v>
      </c>
      <c r="J190">
        <v>498.88</v>
      </c>
      <c r="K190">
        <v>29.217661305361307</v>
      </c>
      <c r="L190">
        <v>-100275.01360000001</v>
      </c>
      <c r="M190" t="s">
        <v>437</v>
      </c>
      <c r="N190" t="s">
        <v>436</v>
      </c>
    </row>
    <row r="191" spans="1:14" x14ac:dyDescent="0.25">
      <c r="A191" s="18">
        <v>45820</v>
      </c>
      <c r="B191" t="s">
        <v>289</v>
      </c>
      <c r="C191" t="s">
        <v>318</v>
      </c>
      <c r="D191" t="s">
        <v>22</v>
      </c>
      <c r="E191" t="s">
        <v>23</v>
      </c>
      <c r="F191" t="s">
        <v>21</v>
      </c>
      <c r="G191">
        <v>1027</v>
      </c>
      <c r="H191">
        <v>29.26</v>
      </c>
      <c r="I191">
        <v>-30050.02</v>
      </c>
      <c r="J191">
        <v>132.22</v>
      </c>
      <c r="K191">
        <v>29.388743914313537</v>
      </c>
      <c r="L191">
        <v>-30182.240000000002</v>
      </c>
      <c r="M191" t="s">
        <v>22</v>
      </c>
      <c r="N191" t="s">
        <v>318</v>
      </c>
    </row>
    <row r="192" spans="1:14" x14ac:dyDescent="0.25">
      <c r="A192" s="18">
        <v>45820</v>
      </c>
      <c r="B192" t="s">
        <v>289</v>
      </c>
      <c r="C192" t="s">
        <v>301</v>
      </c>
      <c r="D192" t="s">
        <v>120</v>
      </c>
      <c r="E192" t="s">
        <v>363</v>
      </c>
      <c r="F192" t="s">
        <v>21</v>
      </c>
      <c r="G192">
        <v>375</v>
      </c>
      <c r="H192">
        <v>266.66000000000003</v>
      </c>
      <c r="I192">
        <v>-99997.500000000015</v>
      </c>
      <c r="J192">
        <v>50</v>
      </c>
      <c r="K192">
        <v>266.79333333333335</v>
      </c>
      <c r="L192">
        <v>-100047.50000000001</v>
      </c>
      <c r="M192" t="s">
        <v>120</v>
      </c>
      <c r="N192" t="s">
        <v>301</v>
      </c>
    </row>
    <row r="193" spans="1:14" x14ac:dyDescent="0.25">
      <c r="A193" s="18">
        <v>45820</v>
      </c>
      <c r="B193" t="s">
        <v>319</v>
      </c>
      <c r="C193" t="s">
        <v>438</v>
      </c>
      <c r="D193" t="s">
        <v>439</v>
      </c>
      <c r="E193" t="s">
        <v>440</v>
      </c>
      <c r="F193" t="s">
        <v>137</v>
      </c>
      <c r="G193">
        <v>-2</v>
      </c>
      <c r="H193">
        <v>165.81</v>
      </c>
      <c r="I193">
        <v>41452500</v>
      </c>
      <c r="K193">
        <v>165.81</v>
      </c>
      <c r="L193">
        <v>41452500</v>
      </c>
      <c r="M193" t="s">
        <v>439</v>
      </c>
      <c r="N193" t="s">
        <v>438</v>
      </c>
    </row>
    <row r="194" spans="1:14" x14ac:dyDescent="0.25">
      <c r="A194" s="18">
        <v>45820</v>
      </c>
      <c r="B194" t="s">
        <v>289</v>
      </c>
      <c r="C194" t="s">
        <v>441</v>
      </c>
      <c r="D194" t="s">
        <v>410</v>
      </c>
      <c r="E194" t="s">
        <v>442</v>
      </c>
      <c r="F194" t="s">
        <v>137</v>
      </c>
      <c r="G194">
        <v>2</v>
      </c>
      <c r="H194">
        <v>166.505</v>
      </c>
      <c r="I194">
        <v>-41626250</v>
      </c>
      <c r="K194">
        <v>166.505</v>
      </c>
      <c r="L194">
        <v>-41626250</v>
      </c>
      <c r="M194" t="s">
        <v>410</v>
      </c>
      <c r="N194" t="s">
        <v>441</v>
      </c>
    </row>
    <row r="195" spans="1:14" x14ac:dyDescent="0.25">
      <c r="A195" s="18">
        <v>45821</v>
      </c>
      <c r="B195" t="s">
        <v>289</v>
      </c>
      <c r="C195" t="s">
        <v>314</v>
      </c>
      <c r="D195" t="s">
        <v>315</v>
      </c>
      <c r="E195" t="s">
        <v>362</v>
      </c>
      <c r="F195" t="s">
        <v>21</v>
      </c>
      <c r="G195">
        <v>1302</v>
      </c>
      <c r="H195">
        <v>23.12</v>
      </c>
      <c r="I195">
        <v>-30102.240000000002</v>
      </c>
      <c r="J195">
        <v>314.31</v>
      </c>
      <c r="K195">
        <v>23.36140552995392</v>
      </c>
      <c r="L195">
        <v>-30416.550000000003</v>
      </c>
      <c r="M195" t="s">
        <v>315</v>
      </c>
      <c r="N195" t="s">
        <v>314</v>
      </c>
    </row>
    <row r="196" spans="1:14" x14ac:dyDescent="0.25">
      <c r="A196" s="18">
        <v>45821</v>
      </c>
      <c r="B196" t="s">
        <v>289</v>
      </c>
      <c r="C196" t="s">
        <v>436</v>
      </c>
      <c r="D196" t="s">
        <v>437</v>
      </c>
      <c r="E196" t="s">
        <v>262</v>
      </c>
      <c r="F196" t="s">
        <v>21</v>
      </c>
      <c r="G196">
        <v>1724</v>
      </c>
      <c r="H196">
        <v>29.029499999999999</v>
      </c>
      <c r="I196">
        <v>-50046.858</v>
      </c>
      <c r="J196">
        <v>220.21</v>
      </c>
      <c r="K196">
        <v>29.157232018561483</v>
      </c>
      <c r="L196">
        <v>-50267.067999999999</v>
      </c>
      <c r="M196" t="s">
        <v>437</v>
      </c>
      <c r="N196" t="s">
        <v>436</v>
      </c>
    </row>
    <row r="197" spans="1:14" x14ac:dyDescent="0.25">
      <c r="A197" s="18">
        <v>45821</v>
      </c>
      <c r="B197" t="s">
        <v>289</v>
      </c>
      <c r="C197" t="s">
        <v>331</v>
      </c>
      <c r="D197" t="s">
        <v>332</v>
      </c>
      <c r="E197" t="s">
        <v>333</v>
      </c>
      <c r="F197" t="s">
        <v>21</v>
      </c>
      <c r="G197">
        <v>18</v>
      </c>
      <c r="H197">
        <v>1642.8</v>
      </c>
      <c r="I197">
        <v>-29570.399999999998</v>
      </c>
      <c r="K197">
        <v>1642.8</v>
      </c>
      <c r="L197">
        <v>-29570.399999999998</v>
      </c>
      <c r="M197" t="s">
        <v>332</v>
      </c>
      <c r="N197" t="s">
        <v>331</v>
      </c>
    </row>
    <row r="198" spans="1:14" x14ac:dyDescent="0.25">
      <c r="A198" s="18">
        <v>45821</v>
      </c>
      <c r="B198" t="s">
        <v>289</v>
      </c>
      <c r="C198" t="s">
        <v>331</v>
      </c>
      <c r="D198" t="s">
        <v>332</v>
      </c>
      <c r="E198" t="s">
        <v>333</v>
      </c>
      <c r="F198" t="s">
        <v>21</v>
      </c>
      <c r="G198">
        <v>30</v>
      </c>
      <c r="H198">
        <v>1654.7</v>
      </c>
      <c r="I198">
        <v>-49641</v>
      </c>
      <c r="J198">
        <v>49.64</v>
      </c>
      <c r="K198">
        <v>1656.3546666666666</v>
      </c>
      <c r="L198">
        <v>-49690.64</v>
      </c>
      <c r="M198" t="s">
        <v>332</v>
      </c>
      <c r="N198" t="s">
        <v>331</v>
      </c>
    </row>
    <row r="199" spans="1:14" x14ac:dyDescent="0.25">
      <c r="A199" s="18">
        <v>45825</v>
      </c>
      <c r="B199" t="s">
        <v>289</v>
      </c>
      <c r="C199" t="s">
        <v>308</v>
      </c>
      <c r="D199" t="s">
        <v>309</v>
      </c>
      <c r="E199" t="s">
        <v>310</v>
      </c>
      <c r="F199" t="s">
        <v>21</v>
      </c>
      <c r="G199">
        <v>3305</v>
      </c>
      <c r="H199">
        <v>15.2075</v>
      </c>
      <c r="I199">
        <v>-50260.787499999999</v>
      </c>
      <c r="J199">
        <v>51.25</v>
      </c>
      <c r="K199">
        <v>15.223006807866868</v>
      </c>
      <c r="L199">
        <v>-50312.037499999999</v>
      </c>
      <c r="M199" t="s">
        <v>309</v>
      </c>
      <c r="N199" t="s">
        <v>308</v>
      </c>
    </row>
    <row r="200" spans="1:14" x14ac:dyDescent="0.25">
      <c r="A200" s="18">
        <v>45825</v>
      </c>
      <c r="B200" t="s">
        <v>319</v>
      </c>
      <c r="C200" t="s">
        <v>308</v>
      </c>
      <c r="D200" t="s">
        <v>309</v>
      </c>
      <c r="E200" t="s">
        <v>310</v>
      </c>
      <c r="F200" t="s">
        <v>21</v>
      </c>
      <c r="G200">
        <v>-8279</v>
      </c>
      <c r="H200">
        <v>15.476800000000001</v>
      </c>
      <c r="I200">
        <v>128132.42720000001</v>
      </c>
      <c r="J200">
        <v>51.25</v>
      </c>
      <c r="K200">
        <v>15.470609638845271</v>
      </c>
      <c r="L200">
        <v>128081.17720000001</v>
      </c>
      <c r="M200" t="s">
        <v>309</v>
      </c>
      <c r="N200" t="s">
        <v>308</v>
      </c>
    </row>
    <row r="201" spans="1:14" x14ac:dyDescent="0.25">
      <c r="A201" s="18">
        <v>45825</v>
      </c>
      <c r="B201" t="s">
        <v>289</v>
      </c>
      <c r="C201" t="s">
        <v>435</v>
      </c>
      <c r="D201" t="s">
        <v>99</v>
      </c>
      <c r="E201" t="s">
        <v>100</v>
      </c>
      <c r="F201" t="s">
        <v>21</v>
      </c>
      <c r="G201">
        <v>18166</v>
      </c>
      <c r="H201">
        <v>6.9332000000000003</v>
      </c>
      <c r="I201">
        <v>-125948.51120000001</v>
      </c>
      <c r="J201">
        <v>302.28000000000003</v>
      </c>
      <c r="K201">
        <v>6.9498398766927227</v>
      </c>
      <c r="L201">
        <v>-126250.79120000001</v>
      </c>
      <c r="M201" t="s">
        <v>99</v>
      </c>
      <c r="N201" t="s">
        <v>435</v>
      </c>
    </row>
    <row r="202" spans="1:14" x14ac:dyDescent="0.25">
      <c r="A202" s="18">
        <v>45826</v>
      </c>
      <c r="B202" t="s">
        <v>319</v>
      </c>
      <c r="C202" t="s">
        <v>350</v>
      </c>
      <c r="D202" t="s">
        <v>351</v>
      </c>
      <c r="E202" t="s">
        <v>352</v>
      </c>
      <c r="F202" t="s">
        <v>21</v>
      </c>
      <c r="G202">
        <v>-9460</v>
      </c>
      <c r="H202">
        <v>35.384999999999998</v>
      </c>
      <c r="I202">
        <v>334742.09999999998</v>
      </c>
      <c r="J202">
        <v>133.9</v>
      </c>
      <c r="K202">
        <v>35.370845665961937</v>
      </c>
      <c r="L202">
        <v>334608.19999999995</v>
      </c>
      <c r="M202" t="s">
        <v>351</v>
      </c>
      <c r="N202" t="s">
        <v>350</v>
      </c>
    </row>
    <row r="203" spans="1:14" x14ac:dyDescent="0.25">
      <c r="A203" s="18">
        <v>45826</v>
      </c>
      <c r="B203" t="s">
        <v>289</v>
      </c>
      <c r="C203" t="s">
        <v>386</v>
      </c>
      <c r="D203" t="s">
        <v>60</v>
      </c>
      <c r="E203" t="s">
        <v>260</v>
      </c>
      <c r="F203" t="s">
        <v>21</v>
      </c>
      <c r="G203">
        <v>2500</v>
      </c>
      <c r="H203">
        <v>43.8</v>
      </c>
      <c r="I203">
        <v>-109500</v>
      </c>
      <c r="J203">
        <v>43.8</v>
      </c>
      <c r="K203">
        <v>43.817520000000002</v>
      </c>
      <c r="L203">
        <v>-109543.8</v>
      </c>
      <c r="M203" t="s">
        <v>60</v>
      </c>
      <c r="N203" t="s">
        <v>386</v>
      </c>
    </row>
    <row r="204" spans="1:14" x14ac:dyDescent="0.25">
      <c r="A204" s="18">
        <v>45826</v>
      </c>
      <c r="B204" t="s">
        <v>319</v>
      </c>
      <c r="C204" t="s">
        <v>443</v>
      </c>
      <c r="D204" t="s">
        <v>444</v>
      </c>
      <c r="E204" t="s">
        <v>445</v>
      </c>
      <c r="F204" t="s">
        <v>21</v>
      </c>
      <c r="G204">
        <v>-3</v>
      </c>
      <c r="H204">
        <v>23619</v>
      </c>
      <c r="I204">
        <v>354285</v>
      </c>
      <c r="K204">
        <v>23619</v>
      </c>
      <c r="L204">
        <v>354285</v>
      </c>
      <c r="M204" t="s">
        <v>444</v>
      </c>
      <c r="N204" t="s">
        <v>443</v>
      </c>
    </row>
    <row r="205" spans="1:14" x14ac:dyDescent="0.25">
      <c r="A205" s="18">
        <v>45826</v>
      </c>
      <c r="B205" t="s">
        <v>289</v>
      </c>
      <c r="C205" t="s">
        <v>368</v>
      </c>
      <c r="D205" t="s">
        <v>369</v>
      </c>
      <c r="E205" t="s">
        <v>370</v>
      </c>
      <c r="F205" t="s">
        <v>21</v>
      </c>
      <c r="G205">
        <v>3</v>
      </c>
      <c r="H205">
        <v>23493</v>
      </c>
      <c r="I205">
        <v>-352395</v>
      </c>
      <c r="K205">
        <v>23493</v>
      </c>
      <c r="L205">
        <v>-352395</v>
      </c>
      <c r="M205" t="s">
        <v>369</v>
      </c>
      <c r="N205" t="s">
        <v>368</v>
      </c>
    </row>
    <row r="206" spans="1:14" x14ac:dyDescent="0.25">
      <c r="A206" s="18">
        <v>45826</v>
      </c>
      <c r="B206" t="s">
        <v>319</v>
      </c>
      <c r="C206" t="s">
        <v>446</v>
      </c>
      <c r="D206" t="s">
        <v>447</v>
      </c>
      <c r="E206" t="s">
        <v>448</v>
      </c>
      <c r="F206" t="s">
        <v>21</v>
      </c>
      <c r="G206">
        <v>-5</v>
      </c>
      <c r="H206">
        <v>7733.7</v>
      </c>
      <c r="I206">
        <v>386685</v>
      </c>
      <c r="K206">
        <v>7733.7</v>
      </c>
      <c r="L206">
        <v>386685</v>
      </c>
      <c r="M206" t="s">
        <v>447</v>
      </c>
      <c r="N206" t="s">
        <v>446</v>
      </c>
    </row>
    <row r="207" spans="1:14" x14ac:dyDescent="0.25">
      <c r="A207" s="18">
        <v>45826</v>
      </c>
      <c r="B207" t="s">
        <v>289</v>
      </c>
      <c r="C207" t="s">
        <v>372</v>
      </c>
      <c r="D207" t="s">
        <v>373</v>
      </c>
      <c r="E207" t="s">
        <v>374</v>
      </c>
      <c r="F207" t="s">
        <v>21</v>
      </c>
      <c r="G207">
        <v>5</v>
      </c>
      <c r="H207">
        <v>7696.2</v>
      </c>
      <c r="I207">
        <v>-384810</v>
      </c>
      <c r="K207">
        <v>7696.2</v>
      </c>
      <c r="L207">
        <v>-384810</v>
      </c>
      <c r="M207" t="s">
        <v>373</v>
      </c>
      <c r="N207" t="s">
        <v>372</v>
      </c>
    </row>
    <row r="208" spans="1:14" x14ac:dyDescent="0.25">
      <c r="A208" s="18">
        <v>45826</v>
      </c>
      <c r="B208" t="s">
        <v>289</v>
      </c>
      <c r="C208" t="s">
        <v>392</v>
      </c>
      <c r="D208" t="s">
        <v>393</v>
      </c>
      <c r="E208" t="s">
        <v>394</v>
      </c>
      <c r="F208" t="s">
        <v>157</v>
      </c>
      <c r="G208">
        <v>9000</v>
      </c>
      <c r="H208">
        <v>91.825000000000003</v>
      </c>
      <c r="I208">
        <v>-826425</v>
      </c>
      <c r="J208">
        <v>330.57</v>
      </c>
      <c r="K208">
        <v>91.861729999999994</v>
      </c>
      <c r="L208">
        <v>-826755.57</v>
      </c>
      <c r="M208" t="s">
        <v>393</v>
      </c>
      <c r="N208" t="s">
        <v>392</v>
      </c>
    </row>
    <row r="209" spans="1:14" x14ac:dyDescent="0.25">
      <c r="A209" s="18">
        <v>45826</v>
      </c>
      <c r="B209" t="s">
        <v>289</v>
      </c>
      <c r="C209" t="s">
        <v>331</v>
      </c>
      <c r="D209" t="s">
        <v>332</v>
      </c>
      <c r="E209" t="s">
        <v>333</v>
      </c>
      <c r="F209" t="s">
        <v>21</v>
      </c>
      <c r="G209">
        <v>65</v>
      </c>
      <c r="H209">
        <v>1658.44</v>
      </c>
      <c r="I209">
        <v>-107798.6</v>
      </c>
      <c r="J209">
        <v>43.12</v>
      </c>
      <c r="K209">
        <v>1659.1033846153846</v>
      </c>
      <c r="L209">
        <v>-107841.72</v>
      </c>
      <c r="M209" t="s">
        <v>332</v>
      </c>
      <c r="N209" t="s">
        <v>331</v>
      </c>
    </row>
    <row r="210" spans="1:14" x14ac:dyDescent="0.25">
      <c r="A210" s="18">
        <v>45827</v>
      </c>
      <c r="B210" t="s">
        <v>289</v>
      </c>
      <c r="C210" t="s">
        <v>353</v>
      </c>
      <c r="D210" t="s">
        <v>122</v>
      </c>
      <c r="E210" t="s">
        <v>297</v>
      </c>
      <c r="F210" t="s">
        <v>21</v>
      </c>
      <c r="G210">
        <v>354</v>
      </c>
      <c r="H210">
        <v>196.2</v>
      </c>
      <c r="I210">
        <v>-69454.8</v>
      </c>
      <c r="K210">
        <v>196.20000000000002</v>
      </c>
      <c r="L210">
        <v>-69454.8</v>
      </c>
      <c r="M210" t="s">
        <v>122</v>
      </c>
      <c r="N210" t="s">
        <v>353</v>
      </c>
    </row>
    <row r="211" spans="1:14" x14ac:dyDescent="0.25">
      <c r="A211" s="18">
        <v>45827</v>
      </c>
      <c r="B211" t="s">
        <v>289</v>
      </c>
      <c r="C211" t="s">
        <v>353</v>
      </c>
      <c r="D211" t="s">
        <v>122</v>
      </c>
      <c r="E211" t="s">
        <v>297</v>
      </c>
      <c r="F211" t="s">
        <v>21</v>
      </c>
      <c r="G211">
        <v>250</v>
      </c>
      <c r="H211">
        <v>196.61</v>
      </c>
      <c r="I211">
        <v>-49152.5</v>
      </c>
      <c r="K211">
        <v>196.61</v>
      </c>
      <c r="L211">
        <v>-49152.5</v>
      </c>
      <c r="M211" t="s">
        <v>122</v>
      </c>
      <c r="N211" t="s">
        <v>353</v>
      </c>
    </row>
    <row r="212" spans="1:14" x14ac:dyDescent="0.25">
      <c r="A212" s="18">
        <v>45827</v>
      </c>
      <c r="B212" t="s">
        <v>319</v>
      </c>
      <c r="C212" t="s">
        <v>334</v>
      </c>
      <c r="D212" t="s">
        <v>335</v>
      </c>
      <c r="E212" t="s">
        <v>336</v>
      </c>
      <c r="F212" t="s">
        <v>21</v>
      </c>
      <c r="G212">
        <v>-1886</v>
      </c>
      <c r="H212">
        <v>55.422400000000003</v>
      </c>
      <c r="I212">
        <v>104526.64640000001</v>
      </c>
      <c r="J212">
        <v>41.81</v>
      </c>
      <c r="K212">
        <v>55.400231389183467</v>
      </c>
      <c r="L212">
        <v>104484.83640000001</v>
      </c>
      <c r="M212" t="s">
        <v>335</v>
      </c>
      <c r="N212" t="s">
        <v>334</v>
      </c>
    </row>
    <row r="213" spans="1:14" x14ac:dyDescent="0.25">
      <c r="A213" s="18">
        <v>45827</v>
      </c>
      <c r="B213" t="s">
        <v>319</v>
      </c>
      <c r="C213" t="s">
        <v>443</v>
      </c>
      <c r="D213" t="s">
        <v>444</v>
      </c>
      <c r="E213" t="s">
        <v>445</v>
      </c>
      <c r="F213" t="s">
        <v>21</v>
      </c>
      <c r="G213">
        <v>-4</v>
      </c>
      <c r="H213">
        <v>23231.5</v>
      </c>
      <c r="I213">
        <v>464630</v>
      </c>
      <c r="K213">
        <v>23231.5</v>
      </c>
      <c r="L213">
        <v>464630</v>
      </c>
      <c r="M213" t="s">
        <v>444</v>
      </c>
      <c r="N213" t="s">
        <v>443</v>
      </c>
    </row>
    <row r="214" spans="1:14" x14ac:dyDescent="0.25">
      <c r="A214" s="18">
        <v>45827</v>
      </c>
      <c r="B214" t="s">
        <v>319</v>
      </c>
      <c r="C214" t="s">
        <v>446</v>
      </c>
      <c r="D214" t="s">
        <v>447</v>
      </c>
      <c r="E214" t="s">
        <v>448</v>
      </c>
      <c r="F214" t="s">
        <v>21</v>
      </c>
      <c r="G214">
        <v>-7</v>
      </c>
      <c r="H214">
        <v>7600.5</v>
      </c>
      <c r="I214">
        <v>532035</v>
      </c>
      <c r="K214">
        <v>7600.5</v>
      </c>
      <c r="L214">
        <v>532035</v>
      </c>
      <c r="M214" t="s">
        <v>447</v>
      </c>
      <c r="N214" t="s">
        <v>446</v>
      </c>
    </row>
    <row r="215" spans="1:14" x14ac:dyDescent="0.25">
      <c r="A215" s="18">
        <v>45828</v>
      </c>
      <c r="B215" t="s">
        <v>289</v>
      </c>
      <c r="C215" t="s">
        <v>361</v>
      </c>
      <c r="D215" t="s">
        <v>93</v>
      </c>
      <c r="E215" t="s">
        <v>94</v>
      </c>
      <c r="F215" t="s">
        <v>21</v>
      </c>
      <c r="G215">
        <v>800</v>
      </c>
      <c r="H215">
        <v>87.423599999999993</v>
      </c>
      <c r="I215">
        <v>-69938.87999999999</v>
      </c>
      <c r="J215">
        <v>27.98</v>
      </c>
      <c r="K215">
        <v>87.458574999999982</v>
      </c>
      <c r="L215">
        <v>-69966.859999999986</v>
      </c>
      <c r="M215" t="s">
        <v>93</v>
      </c>
      <c r="N215" t="s">
        <v>361</v>
      </c>
    </row>
    <row r="216" spans="1:14" x14ac:dyDescent="0.25">
      <c r="A216" s="18">
        <v>45828</v>
      </c>
      <c r="B216" t="s">
        <v>289</v>
      </c>
      <c r="C216" t="s">
        <v>436</v>
      </c>
      <c r="D216" t="s">
        <v>437</v>
      </c>
      <c r="E216" t="s">
        <v>262</v>
      </c>
      <c r="F216" t="s">
        <v>21</v>
      </c>
      <c r="G216">
        <v>3000</v>
      </c>
      <c r="H216">
        <v>27.602900000000002</v>
      </c>
      <c r="I216">
        <v>-82808.700000000012</v>
      </c>
      <c r="J216">
        <v>364.35</v>
      </c>
      <c r="K216">
        <v>27.724350000000005</v>
      </c>
      <c r="L216">
        <v>-83173.050000000017</v>
      </c>
      <c r="M216" t="s">
        <v>437</v>
      </c>
      <c r="N216" t="s">
        <v>436</v>
      </c>
    </row>
    <row r="217" spans="1:14" x14ac:dyDescent="0.25">
      <c r="A217" s="18">
        <v>45828</v>
      </c>
      <c r="B217" t="s">
        <v>289</v>
      </c>
      <c r="C217" t="s">
        <v>436</v>
      </c>
      <c r="D217" t="s">
        <v>437</v>
      </c>
      <c r="E217" t="s">
        <v>262</v>
      </c>
      <c r="F217" t="s">
        <v>21</v>
      </c>
      <c r="G217">
        <v>1818</v>
      </c>
      <c r="H217">
        <v>27.54</v>
      </c>
      <c r="I217">
        <v>-50067.72</v>
      </c>
      <c r="J217">
        <v>220.3</v>
      </c>
      <c r="K217">
        <v>27.661177117711773</v>
      </c>
      <c r="L217">
        <v>-50288.020000000004</v>
      </c>
      <c r="M217" t="s">
        <v>437</v>
      </c>
      <c r="N217" t="s">
        <v>436</v>
      </c>
    </row>
    <row r="218" spans="1:14" x14ac:dyDescent="0.25">
      <c r="A218" s="18">
        <v>45828</v>
      </c>
      <c r="B218" t="s">
        <v>289</v>
      </c>
      <c r="C218" t="s">
        <v>436</v>
      </c>
      <c r="D218" t="s">
        <v>437</v>
      </c>
      <c r="E218" t="s">
        <v>262</v>
      </c>
      <c r="F218" t="s">
        <v>21</v>
      </c>
      <c r="G218">
        <v>1086</v>
      </c>
      <c r="H218">
        <v>27.39</v>
      </c>
      <c r="I218">
        <v>-29745.54</v>
      </c>
      <c r="J218">
        <v>130.88</v>
      </c>
      <c r="K218">
        <v>27.510515653775325</v>
      </c>
      <c r="L218">
        <v>-29876.420000000002</v>
      </c>
      <c r="M218" t="s">
        <v>437</v>
      </c>
      <c r="N218" t="s">
        <v>436</v>
      </c>
    </row>
    <row r="219" spans="1:14" x14ac:dyDescent="0.25">
      <c r="A219" s="18">
        <v>45828</v>
      </c>
      <c r="B219" t="s">
        <v>289</v>
      </c>
      <c r="C219" t="s">
        <v>328</v>
      </c>
      <c r="D219" t="s">
        <v>329</v>
      </c>
      <c r="E219" t="s">
        <v>330</v>
      </c>
      <c r="F219" t="s">
        <v>21</v>
      </c>
      <c r="G219">
        <v>58</v>
      </c>
      <c r="H219">
        <v>1726.5</v>
      </c>
      <c r="I219">
        <v>-100137</v>
      </c>
      <c r="J219">
        <v>100.14</v>
      </c>
      <c r="K219">
        <v>1728.2265517241378</v>
      </c>
      <c r="L219">
        <v>-100237.14</v>
      </c>
      <c r="M219" t="s">
        <v>329</v>
      </c>
      <c r="N219" t="s">
        <v>328</v>
      </c>
    </row>
    <row r="220" spans="1:14" x14ac:dyDescent="0.25">
      <c r="A220" s="18">
        <v>45828</v>
      </c>
      <c r="B220" t="s">
        <v>289</v>
      </c>
      <c r="C220" t="s">
        <v>358</v>
      </c>
      <c r="D220" t="s">
        <v>359</v>
      </c>
      <c r="E220" t="s">
        <v>360</v>
      </c>
      <c r="F220" t="s">
        <v>21</v>
      </c>
      <c r="G220">
        <v>2500</v>
      </c>
      <c r="H220">
        <v>20.100000000000001</v>
      </c>
      <c r="I220">
        <v>-50250</v>
      </c>
      <c r="J220">
        <v>221.1</v>
      </c>
      <c r="K220">
        <v>20.18844</v>
      </c>
      <c r="L220">
        <v>-50471.1</v>
      </c>
      <c r="M220" t="s">
        <v>359</v>
      </c>
      <c r="N220" t="s">
        <v>358</v>
      </c>
    </row>
    <row r="221" spans="1:14" x14ac:dyDescent="0.25">
      <c r="A221" s="18">
        <v>45828</v>
      </c>
      <c r="B221" t="s">
        <v>289</v>
      </c>
      <c r="C221" t="s">
        <v>404</v>
      </c>
      <c r="D221" t="s">
        <v>405</v>
      </c>
      <c r="E221" t="s">
        <v>261</v>
      </c>
      <c r="F221" t="s">
        <v>21</v>
      </c>
      <c r="G221">
        <v>1400</v>
      </c>
      <c r="H221">
        <v>43.523299999999999</v>
      </c>
      <c r="I221">
        <v>-60932.619999999995</v>
      </c>
      <c r="J221">
        <v>268.09999999999997</v>
      </c>
      <c r="K221">
        <v>43.714799999999997</v>
      </c>
      <c r="L221">
        <v>-61200.719999999994</v>
      </c>
      <c r="M221" t="s">
        <v>405</v>
      </c>
      <c r="N221" t="s">
        <v>404</v>
      </c>
    </row>
    <row r="222" spans="1:14" x14ac:dyDescent="0.25">
      <c r="A222" s="18">
        <v>45828</v>
      </c>
      <c r="B222" t="s">
        <v>289</v>
      </c>
      <c r="C222" t="s">
        <v>325</v>
      </c>
      <c r="D222" t="s">
        <v>47</v>
      </c>
      <c r="E222" t="s">
        <v>272</v>
      </c>
      <c r="F222" t="s">
        <v>395</v>
      </c>
      <c r="G222">
        <v>700</v>
      </c>
      <c r="H222">
        <v>64.9589</v>
      </c>
      <c r="I222">
        <v>-45471.23</v>
      </c>
      <c r="J222">
        <v>472.9</v>
      </c>
      <c r="K222">
        <v>65.63447142857143</v>
      </c>
      <c r="L222">
        <v>-45944.130000000005</v>
      </c>
      <c r="M222" t="s">
        <v>47</v>
      </c>
      <c r="N222" t="s">
        <v>325</v>
      </c>
    </row>
    <row r="223" spans="1:14" x14ac:dyDescent="0.25">
      <c r="A223" s="18">
        <v>45831</v>
      </c>
      <c r="B223" t="s">
        <v>319</v>
      </c>
      <c r="C223" t="s">
        <v>318</v>
      </c>
      <c r="D223" t="s">
        <v>22</v>
      </c>
      <c r="E223" t="s">
        <v>23</v>
      </c>
      <c r="F223" t="s">
        <v>21</v>
      </c>
      <c r="G223">
        <v>-7446</v>
      </c>
      <c r="H223">
        <v>27.2468</v>
      </c>
      <c r="I223">
        <v>202879.6728</v>
      </c>
      <c r="J223">
        <v>81.150000000000006</v>
      </c>
      <c r="K223">
        <v>27.235901531023369</v>
      </c>
      <c r="L223">
        <v>202798.52280000001</v>
      </c>
      <c r="M223" t="s">
        <v>22</v>
      </c>
      <c r="N223" t="s">
        <v>318</v>
      </c>
    </row>
    <row r="224" spans="1:14" x14ac:dyDescent="0.25">
      <c r="A224" s="18">
        <v>45831</v>
      </c>
      <c r="B224" t="s">
        <v>319</v>
      </c>
      <c r="C224" t="s">
        <v>318</v>
      </c>
      <c r="D224" t="s">
        <v>22</v>
      </c>
      <c r="E224" t="s">
        <v>23</v>
      </c>
      <c r="F224" t="s">
        <v>21</v>
      </c>
      <c r="G224">
        <v>-3750</v>
      </c>
      <c r="H224">
        <v>27.334099999999999</v>
      </c>
      <c r="I224">
        <v>102502.875</v>
      </c>
      <c r="J224">
        <v>102.5</v>
      </c>
      <c r="K224">
        <v>27.306766666666668</v>
      </c>
      <c r="L224">
        <v>102400.375</v>
      </c>
      <c r="M224" t="s">
        <v>22</v>
      </c>
      <c r="N224" t="s">
        <v>318</v>
      </c>
    </row>
    <row r="225" spans="1:14" x14ac:dyDescent="0.25">
      <c r="A225" s="18">
        <v>45831</v>
      </c>
      <c r="B225" t="s">
        <v>289</v>
      </c>
      <c r="C225" t="s">
        <v>294</v>
      </c>
      <c r="D225" t="s">
        <v>80</v>
      </c>
      <c r="E225" t="s">
        <v>295</v>
      </c>
      <c r="F225" t="s">
        <v>82</v>
      </c>
      <c r="G225">
        <v>2734</v>
      </c>
      <c r="H225">
        <v>53.953699999999998</v>
      </c>
      <c r="I225">
        <v>-147509.41579999999</v>
      </c>
      <c r="J225">
        <v>59</v>
      </c>
      <c r="K225">
        <v>53.97528010241404</v>
      </c>
      <c r="L225">
        <v>-147568.41579999999</v>
      </c>
      <c r="M225" t="s">
        <v>80</v>
      </c>
      <c r="N225" t="s">
        <v>294</v>
      </c>
    </row>
    <row r="226" spans="1:14" x14ac:dyDescent="0.25">
      <c r="A226" s="18">
        <v>45831</v>
      </c>
      <c r="B226" t="s">
        <v>289</v>
      </c>
      <c r="C226" t="s">
        <v>294</v>
      </c>
      <c r="D226" t="s">
        <v>80</v>
      </c>
      <c r="E226" t="s">
        <v>295</v>
      </c>
      <c r="F226" t="s">
        <v>82</v>
      </c>
      <c r="G226">
        <v>2714</v>
      </c>
      <c r="H226">
        <v>54.325800000000001</v>
      </c>
      <c r="I226">
        <v>-147440.2212</v>
      </c>
      <c r="J226">
        <v>58.98</v>
      </c>
      <c r="K226">
        <v>54.347531761238031</v>
      </c>
      <c r="L226">
        <v>-147499.20120000001</v>
      </c>
      <c r="M226" t="s">
        <v>80</v>
      </c>
      <c r="N226" t="s">
        <v>294</v>
      </c>
    </row>
    <row r="227" spans="1:14" x14ac:dyDescent="0.25">
      <c r="A227" s="18">
        <v>45831</v>
      </c>
      <c r="B227" t="s">
        <v>289</v>
      </c>
      <c r="C227" t="s">
        <v>435</v>
      </c>
      <c r="D227" t="s">
        <v>99</v>
      </c>
      <c r="E227" t="s">
        <v>100</v>
      </c>
      <c r="F227" t="s">
        <v>21</v>
      </c>
      <c r="G227">
        <v>29000</v>
      </c>
      <c r="H227">
        <v>6.8789999999999996</v>
      </c>
      <c r="I227">
        <v>-199491</v>
      </c>
      <c r="K227">
        <v>6.8789999999999996</v>
      </c>
      <c r="L227">
        <v>-199491</v>
      </c>
      <c r="M227" t="s">
        <v>99</v>
      </c>
      <c r="N227" t="s">
        <v>435</v>
      </c>
    </row>
    <row r="228" spans="1:14" x14ac:dyDescent="0.25">
      <c r="A228" s="18">
        <v>45832</v>
      </c>
      <c r="B228" t="s">
        <v>289</v>
      </c>
      <c r="C228" t="s">
        <v>424</v>
      </c>
      <c r="D228" t="s">
        <v>41</v>
      </c>
      <c r="E228" t="s">
        <v>42</v>
      </c>
      <c r="F228" t="s">
        <v>21</v>
      </c>
      <c r="G228">
        <v>6800</v>
      </c>
      <c r="H228">
        <v>8.9361999999999995</v>
      </c>
      <c r="I228">
        <v>-60766.159999999996</v>
      </c>
      <c r="J228">
        <v>329.64</v>
      </c>
      <c r="K228">
        <v>8.9846764705882354</v>
      </c>
      <c r="L228">
        <v>-61095.799999999996</v>
      </c>
      <c r="M228" t="s">
        <v>41</v>
      </c>
      <c r="N228" t="s">
        <v>424</v>
      </c>
    </row>
    <row r="229" spans="1:14" x14ac:dyDescent="0.25">
      <c r="A229" s="18">
        <v>45832</v>
      </c>
      <c r="B229" t="s">
        <v>289</v>
      </c>
      <c r="C229" t="s">
        <v>328</v>
      </c>
      <c r="D229" t="s">
        <v>329</v>
      </c>
      <c r="E229" t="s">
        <v>330</v>
      </c>
      <c r="F229" t="s">
        <v>21</v>
      </c>
      <c r="G229">
        <v>40</v>
      </c>
      <c r="H229">
        <v>1683.5</v>
      </c>
      <c r="I229">
        <v>-67340</v>
      </c>
      <c r="J229">
        <v>26.94</v>
      </c>
      <c r="K229">
        <v>1684.1735000000001</v>
      </c>
      <c r="L229">
        <v>-67366.94</v>
      </c>
      <c r="M229" t="s">
        <v>329</v>
      </c>
      <c r="N229" t="s">
        <v>328</v>
      </c>
    </row>
    <row r="230" spans="1:14" x14ac:dyDescent="0.25">
      <c r="A230" s="18">
        <v>45832</v>
      </c>
      <c r="B230" t="s">
        <v>289</v>
      </c>
      <c r="C230" t="s">
        <v>386</v>
      </c>
      <c r="D230" t="s">
        <v>60</v>
      </c>
      <c r="E230" t="s">
        <v>260</v>
      </c>
      <c r="F230" t="s">
        <v>21</v>
      </c>
      <c r="G230">
        <v>1362</v>
      </c>
      <c r="H230">
        <v>44.412300000000002</v>
      </c>
      <c r="I230">
        <v>-60489.552600000003</v>
      </c>
      <c r="J230">
        <v>24.2</v>
      </c>
      <c r="K230">
        <v>44.430067988252567</v>
      </c>
      <c r="L230">
        <v>-60513.7526</v>
      </c>
      <c r="M230" t="s">
        <v>60</v>
      </c>
      <c r="N230" t="s">
        <v>386</v>
      </c>
    </row>
    <row r="231" spans="1:14" x14ac:dyDescent="0.25">
      <c r="A231" s="18">
        <v>45832</v>
      </c>
      <c r="B231" t="s">
        <v>289</v>
      </c>
      <c r="C231" t="s">
        <v>443</v>
      </c>
      <c r="D231" t="s">
        <v>444</v>
      </c>
      <c r="E231" t="s">
        <v>445</v>
      </c>
      <c r="F231" t="s">
        <v>21</v>
      </c>
      <c r="G231">
        <v>4</v>
      </c>
      <c r="H231">
        <v>23851</v>
      </c>
      <c r="I231">
        <v>-477020</v>
      </c>
      <c r="J231">
        <v>2.11</v>
      </c>
      <c r="K231">
        <v>23851.105499999998</v>
      </c>
      <c r="L231">
        <v>-477022.11</v>
      </c>
      <c r="M231" t="s">
        <v>444</v>
      </c>
      <c r="N231" t="s">
        <v>443</v>
      </c>
    </row>
    <row r="232" spans="1:14" x14ac:dyDescent="0.25">
      <c r="A232" s="18">
        <v>45834</v>
      </c>
      <c r="B232" t="s">
        <v>319</v>
      </c>
      <c r="C232" t="s">
        <v>415</v>
      </c>
      <c r="D232" t="s">
        <v>416</v>
      </c>
      <c r="E232" t="s">
        <v>449</v>
      </c>
      <c r="F232" t="s">
        <v>157</v>
      </c>
      <c r="G232">
        <v>-1509</v>
      </c>
      <c r="H232">
        <v>431.35039999999998</v>
      </c>
      <c r="I232">
        <v>650907.75359999994</v>
      </c>
      <c r="K232">
        <v>431.35039999999998</v>
      </c>
      <c r="L232">
        <v>650907.75359999994</v>
      </c>
      <c r="M232" t="s">
        <v>416</v>
      </c>
      <c r="N232" t="s">
        <v>415</v>
      </c>
    </row>
    <row r="233" spans="1:14" x14ac:dyDescent="0.25">
      <c r="A233" s="18">
        <v>45834</v>
      </c>
      <c r="B233" t="s">
        <v>289</v>
      </c>
      <c r="C233" t="s">
        <v>404</v>
      </c>
      <c r="D233" t="s">
        <v>405</v>
      </c>
      <c r="E233" t="s">
        <v>261</v>
      </c>
      <c r="F233" t="s">
        <v>21</v>
      </c>
      <c r="G233">
        <v>1124</v>
      </c>
      <c r="H233">
        <v>44.562399999999997</v>
      </c>
      <c r="I233">
        <v>-50088.137599999995</v>
      </c>
      <c r="K233">
        <v>44.562399999999997</v>
      </c>
      <c r="L233">
        <v>-50088.137599999995</v>
      </c>
      <c r="M233" t="s">
        <v>405</v>
      </c>
      <c r="N233" t="s">
        <v>404</v>
      </c>
    </row>
    <row r="234" spans="1:14" x14ac:dyDescent="0.25">
      <c r="A234" s="18">
        <v>45834</v>
      </c>
      <c r="B234" t="s">
        <v>289</v>
      </c>
      <c r="C234" t="s">
        <v>294</v>
      </c>
      <c r="D234" t="s">
        <v>80</v>
      </c>
      <c r="E234" t="s">
        <v>295</v>
      </c>
      <c r="F234" t="s">
        <v>82</v>
      </c>
      <c r="G234">
        <v>1603</v>
      </c>
      <c r="H234">
        <v>57.277799999999999</v>
      </c>
      <c r="I234">
        <v>-91816.313399999999</v>
      </c>
      <c r="K234">
        <v>57.277799999999999</v>
      </c>
      <c r="L234">
        <v>-91816.313399999999</v>
      </c>
      <c r="M234" t="s">
        <v>80</v>
      </c>
      <c r="N234" t="s">
        <v>294</v>
      </c>
    </row>
    <row r="235" spans="1:14" x14ac:dyDescent="0.25">
      <c r="A235" s="18">
        <v>45834</v>
      </c>
      <c r="B235" t="s">
        <v>319</v>
      </c>
      <c r="C235" t="s">
        <v>380</v>
      </c>
      <c r="D235" t="s">
        <v>381</v>
      </c>
      <c r="E235" t="s">
        <v>391</v>
      </c>
      <c r="F235" t="s">
        <v>21</v>
      </c>
      <c r="G235">
        <v>90</v>
      </c>
      <c r="H235">
        <v>2232.3888999999999</v>
      </c>
      <c r="I235">
        <v>-200915.00099999999</v>
      </c>
      <c r="K235">
        <v>2232.3888999999999</v>
      </c>
      <c r="L235">
        <v>-200915.00099999999</v>
      </c>
      <c r="M235" t="s">
        <v>381</v>
      </c>
      <c r="N235" t="s">
        <v>380</v>
      </c>
    </row>
    <row r="236" spans="1:14" x14ac:dyDescent="0.25">
      <c r="A236" s="18">
        <v>45834</v>
      </c>
      <c r="B236" t="s">
        <v>289</v>
      </c>
      <c r="C236" t="s">
        <v>325</v>
      </c>
      <c r="D236" t="s">
        <v>47</v>
      </c>
      <c r="E236" t="s">
        <v>272</v>
      </c>
      <c r="F236" t="s">
        <v>395</v>
      </c>
      <c r="G236">
        <v>1150</v>
      </c>
      <c r="H236">
        <v>64.702600000000004</v>
      </c>
      <c r="I236">
        <v>-74407.990000000005</v>
      </c>
      <c r="K236">
        <v>64.702600000000004</v>
      </c>
      <c r="L236">
        <v>-74407.990000000005</v>
      </c>
      <c r="M236" t="s">
        <v>47</v>
      </c>
      <c r="N236" t="s">
        <v>325</v>
      </c>
    </row>
    <row r="237" spans="1:14" x14ac:dyDescent="0.25">
      <c r="A237" s="18">
        <v>45834</v>
      </c>
      <c r="B237" t="s">
        <v>289</v>
      </c>
      <c r="C237" t="s">
        <v>331</v>
      </c>
      <c r="D237" t="s">
        <v>332</v>
      </c>
      <c r="E237" t="s">
        <v>333</v>
      </c>
      <c r="F237" t="s">
        <v>21</v>
      </c>
      <c r="G237">
        <v>31</v>
      </c>
      <c r="H237">
        <v>1541.9419</v>
      </c>
      <c r="I237">
        <v>-47800.198900000003</v>
      </c>
      <c r="K237">
        <v>1541.9419</v>
      </c>
      <c r="L237">
        <v>-47800.198900000003</v>
      </c>
      <c r="M237" t="s">
        <v>332</v>
      </c>
      <c r="N237" t="s">
        <v>331</v>
      </c>
    </row>
    <row r="238" spans="1:14" x14ac:dyDescent="0.25">
      <c r="A238" s="18">
        <v>45835</v>
      </c>
      <c r="B238" t="s">
        <v>289</v>
      </c>
      <c r="C238" t="s">
        <v>418</v>
      </c>
      <c r="D238" t="s">
        <v>419</v>
      </c>
      <c r="E238" t="s">
        <v>420</v>
      </c>
      <c r="F238" t="s">
        <v>49</v>
      </c>
      <c r="G238">
        <v>1</v>
      </c>
      <c r="H238">
        <v>114.9375</v>
      </c>
      <c r="I238">
        <v>-114937.5</v>
      </c>
      <c r="K238">
        <v>114.9375</v>
      </c>
      <c r="L238">
        <v>-114937.5</v>
      </c>
      <c r="M238" t="s">
        <v>419</v>
      </c>
      <c r="N238" t="s">
        <v>418</v>
      </c>
    </row>
    <row r="239" spans="1:14" x14ac:dyDescent="0.25">
      <c r="A239" s="18">
        <v>45835</v>
      </c>
      <c r="B239" t="s">
        <v>289</v>
      </c>
      <c r="C239" t="s">
        <v>421</v>
      </c>
      <c r="D239" t="s">
        <v>422</v>
      </c>
      <c r="E239" t="s">
        <v>423</v>
      </c>
      <c r="F239" t="s">
        <v>49</v>
      </c>
      <c r="G239">
        <v>1257</v>
      </c>
      <c r="H239">
        <v>91.664500000000004</v>
      </c>
      <c r="I239">
        <v>-115222.27650000001</v>
      </c>
      <c r="K239">
        <v>91.664500000000004</v>
      </c>
      <c r="L239">
        <v>-115222.27650000001</v>
      </c>
      <c r="M239" t="s">
        <v>422</v>
      </c>
      <c r="N239" t="s">
        <v>421</v>
      </c>
    </row>
    <row r="240" spans="1:14" x14ac:dyDescent="0.25">
      <c r="A240" s="18">
        <v>45835</v>
      </c>
      <c r="B240" t="s">
        <v>289</v>
      </c>
      <c r="C240" t="s">
        <v>328</v>
      </c>
      <c r="D240" t="s">
        <v>329</v>
      </c>
      <c r="E240" t="s">
        <v>330</v>
      </c>
      <c r="F240" t="s">
        <v>21</v>
      </c>
      <c r="G240">
        <v>25</v>
      </c>
      <c r="H240">
        <v>1806</v>
      </c>
      <c r="I240">
        <v>-45150</v>
      </c>
      <c r="K240">
        <v>1806</v>
      </c>
      <c r="L240">
        <v>-45150</v>
      </c>
      <c r="M240" t="s">
        <v>329</v>
      </c>
      <c r="N240" t="s">
        <v>328</v>
      </c>
    </row>
    <row r="241" spans="1:14" x14ac:dyDescent="0.25">
      <c r="A241" s="18">
        <v>45835</v>
      </c>
      <c r="B241" t="s">
        <v>289</v>
      </c>
      <c r="C241" t="s">
        <v>328</v>
      </c>
      <c r="D241" t="s">
        <v>329</v>
      </c>
      <c r="E241" t="s">
        <v>330</v>
      </c>
      <c r="F241" t="s">
        <v>21</v>
      </c>
      <c r="G241">
        <v>28</v>
      </c>
      <c r="H241">
        <v>1798.375</v>
      </c>
      <c r="I241">
        <v>-50354.5</v>
      </c>
      <c r="K241">
        <v>1798.375</v>
      </c>
      <c r="L241">
        <v>-50354.5</v>
      </c>
      <c r="M241" t="s">
        <v>329</v>
      </c>
      <c r="N241" t="s">
        <v>328</v>
      </c>
    </row>
    <row r="242" spans="1:14" x14ac:dyDescent="0.25">
      <c r="A242" s="18">
        <v>45835</v>
      </c>
      <c r="B242" t="s">
        <v>319</v>
      </c>
      <c r="C242" t="s">
        <v>301</v>
      </c>
      <c r="D242" t="s">
        <v>120</v>
      </c>
      <c r="E242" t="s">
        <v>363</v>
      </c>
      <c r="F242" t="s">
        <v>21</v>
      </c>
      <c r="G242">
        <v>-400</v>
      </c>
      <c r="H242">
        <v>257.1508</v>
      </c>
      <c r="I242">
        <v>102860.32</v>
      </c>
      <c r="K242">
        <v>257.1508</v>
      </c>
      <c r="L242">
        <v>102860.32</v>
      </c>
      <c r="M242" t="s">
        <v>120</v>
      </c>
      <c r="N242" t="s">
        <v>301</v>
      </c>
    </row>
    <row r="243" spans="1:14" x14ac:dyDescent="0.25">
      <c r="A243" s="18">
        <v>45835</v>
      </c>
      <c r="B243" t="s">
        <v>319</v>
      </c>
      <c r="C243" t="s">
        <v>301</v>
      </c>
      <c r="D243" t="s">
        <v>120</v>
      </c>
      <c r="E243" t="s">
        <v>363</v>
      </c>
      <c r="F243" t="s">
        <v>21</v>
      </c>
      <c r="G243">
        <v>-768</v>
      </c>
      <c r="H243">
        <v>255.74979999999999</v>
      </c>
      <c r="I243">
        <v>196415.84639999998</v>
      </c>
      <c r="K243">
        <v>255.74979999999996</v>
      </c>
      <c r="L243">
        <v>196415.84639999998</v>
      </c>
      <c r="M243" t="s">
        <v>120</v>
      </c>
      <c r="N243" t="s">
        <v>301</v>
      </c>
    </row>
    <row r="244" spans="1:14" x14ac:dyDescent="0.25">
      <c r="A244" s="18">
        <v>45838</v>
      </c>
      <c r="B244" t="s">
        <v>289</v>
      </c>
      <c r="C244" t="s">
        <v>404</v>
      </c>
      <c r="D244" t="s">
        <v>405</v>
      </c>
      <c r="E244" t="s">
        <v>261</v>
      </c>
      <c r="F244" t="s">
        <v>21</v>
      </c>
      <c r="G244">
        <v>1700</v>
      </c>
      <c r="H244">
        <v>45.281399999999998</v>
      </c>
      <c r="I244">
        <v>-76978.37999999999</v>
      </c>
      <c r="K244">
        <v>45.281399999999991</v>
      </c>
      <c r="L244">
        <v>-76978.37999999999</v>
      </c>
      <c r="M244" t="s">
        <v>405</v>
      </c>
      <c r="N244" t="s">
        <v>404</v>
      </c>
    </row>
    <row r="245" spans="1:14" x14ac:dyDescent="0.25">
      <c r="A245" s="18">
        <v>45838</v>
      </c>
      <c r="B245" t="s">
        <v>319</v>
      </c>
      <c r="C245" t="s">
        <v>318</v>
      </c>
      <c r="D245" t="s">
        <v>22</v>
      </c>
      <c r="E245" t="s">
        <v>23</v>
      </c>
      <c r="F245" t="s">
        <v>21</v>
      </c>
      <c r="G245">
        <v>-2723</v>
      </c>
      <c r="H245">
        <v>28.083300000000001</v>
      </c>
      <c r="I245">
        <v>76470.825899999996</v>
      </c>
      <c r="K245">
        <v>28.083299999999998</v>
      </c>
      <c r="L245">
        <v>76470.825899999996</v>
      </c>
      <c r="M245" t="s">
        <v>22</v>
      </c>
      <c r="N245" t="s">
        <v>318</v>
      </c>
    </row>
    <row r="246" spans="1:14" x14ac:dyDescent="0.25">
      <c r="A246" s="18">
        <v>45839</v>
      </c>
      <c r="B246" t="s">
        <v>319</v>
      </c>
      <c r="C246" t="s">
        <v>361</v>
      </c>
      <c r="D246" t="s">
        <v>93</v>
      </c>
      <c r="E246" t="s">
        <v>94</v>
      </c>
      <c r="F246" t="s">
        <v>21</v>
      </c>
      <c r="G246">
        <v>-1326</v>
      </c>
      <c r="H246">
        <v>96.97</v>
      </c>
      <c r="I246">
        <v>128582.22</v>
      </c>
      <c r="K246">
        <v>96.97</v>
      </c>
      <c r="L246">
        <v>128582.22</v>
      </c>
      <c r="M246" t="s">
        <v>93</v>
      </c>
      <c r="N246" t="s">
        <v>361</v>
      </c>
    </row>
    <row r="247" spans="1:14" x14ac:dyDescent="0.25">
      <c r="A247" s="18">
        <v>45839</v>
      </c>
      <c r="B247" t="s">
        <v>319</v>
      </c>
      <c r="C247" t="s">
        <v>424</v>
      </c>
      <c r="D247" t="s">
        <v>41</v>
      </c>
      <c r="E247" t="s">
        <v>42</v>
      </c>
      <c r="F247" t="s">
        <v>36</v>
      </c>
      <c r="G247">
        <v>-8870</v>
      </c>
      <c r="H247">
        <v>9.67</v>
      </c>
      <c r="I247">
        <v>85772.9</v>
      </c>
      <c r="K247">
        <v>9.67</v>
      </c>
      <c r="L247">
        <v>85772.9</v>
      </c>
      <c r="M247" t="s">
        <v>41</v>
      </c>
      <c r="N247" t="s">
        <v>424</v>
      </c>
    </row>
    <row r="248" spans="1:14" x14ac:dyDescent="0.25">
      <c r="A248" s="18">
        <v>45839</v>
      </c>
      <c r="B248" t="s">
        <v>289</v>
      </c>
      <c r="C248" t="s">
        <v>450</v>
      </c>
      <c r="D248" t="s">
        <v>116</v>
      </c>
      <c r="E248" t="s">
        <v>451</v>
      </c>
      <c r="F248" t="s">
        <v>21</v>
      </c>
      <c r="G248">
        <v>71474</v>
      </c>
      <c r="H248">
        <v>6.2960000000000003</v>
      </c>
      <c r="I248">
        <v>-450000.304</v>
      </c>
      <c r="K248">
        <v>6.2960000000000003</v>
      </c>
      <c r="L248">
        <v>-450000.304</v>
      </c>
      <c r="M248" t="s">
        <v>116</v>
      </c>
      <c r="N248" t="s">
        <v>450</v>
      </c>
    </row>
    <row r="249" spans="1:14" x14ac:dyDescent="0.25">
      <c r="A249" s="18">
        <v>45839</v>
      </c>
      <c r="B249" t="s">
        <v>289</v>
      </c>
      <c r="C249" t="s">
        <v>380</v>
      </c>
      <c r="D249" t="s">
        <v>381</v>
      </c>
      <c r="E249" t="s">
        <v>382</v>
      </c>
      <c r="F249" t="s">
        <v>21</v>
      </c>
      <c r="G249">
        <v>35</v>
      </c>
      <c r="H249">
        <v>2306.7143000000001</v>
      </c>
      <c r="I249">
        <v>-80735.000500000009</v>
      </c>
      <c r="K249">
        <v>2306.7143000000001</v>
      </c>
      <c r="L249">
        <v>-80735.000500000009</v>
      </c>
      <c r="M249" t="s">
        <v>381</v>
      </c>
      <c r="N249" t="s">
        <v>380</v>
      </c>
    </row>
    <row r="250" spans="1:14" x14ac:dyDescent="0.25">
      <c r="A250" s="18">
        <v>45839</v>
      </c>
      <c r="B250" t="s">
        <v>289</v>
      </c>
      <c r="C250" t="s">
        <v>452</v>
      </c>
      <c r="D250" t="s">
        <v>453</v>
      </c>
      <c r="E250" t="s">
        <v>454</v>
      </c>
      <c r="F250" t="s">
        <v>162</v>
      </c>
      <c r="G250">
        <v>14515</v>
      </c>
      <c r="H250">
        <v>154.0489</v>
      </c>
      <c r="I250">
        <v>-2236019.7834999999</v>
      </c>
      <c r="K250">
        <v>154.0489</v>
      </c>
      <c r="L250">
        <v>-2236019.7834999999</v>
      </c>
      <c r="M250" t="s">
        <v>453</v>
      </c>
      <c r="N250" t="s">
        <v>452</v>
      </c>
    </row>
    <row r="251" spans="1:14" x14ac:dyDescent="0.25">
      <c r="A251" s="18">
        <v>45840</v>
      </c>
      <c r="B251" t="s">
        <v>289</v>
      </c>
      <c r="C251" t="s">
        <v>455</v>
      </c>
      <c r="D251" t="s">
        <v>456</v>
      </c>
      <c r="E251" t="s">
        <v>457</v>
      </c>
      <c r="F251" t="s">
        <v>21</v>
      </c>
      <c r="G251">
        <v>1</v>
      </c>
      <c r="H251">
        <v>123.33</v>
      </c>
      <c r="I251">
        <v>-123330</v>
      </c>
      <c r="K251">
        <v>123.33</v>
      </c>
      <c r="L251">
        <v>-123330</v>
      </c>
      <c r="M251" t="s">
        <v>456</v>
      </c>
      <c r="N251" t="s">
        <v>455</v>
      </c>
    </row>
    <row r="252" spans="1:14" x14ac:dyDescent="0.25">
      <c r="A252" s="18">
        <v>45840</v>
      </c>
      <c r="B252" t="s">
        <v>289</v>
      </c>
      <c r="C252" t="s">
        <v>443</v>
      </c>
      <c r="D252" t="s">
        <v>444</v>
      </c>
      <c r="E252" t="s">
        <v>445</v>
      </c>
      <c r="F252" t="s">
        <v>21</v>
      </c>
      <c r="G252">
        <v>1</v>
      </c>
      <c r="H252">
        <v>23883</v>
      </c>
      <c r="I252">
        <v>-119415</v>
      </c>
      <c r="K252">
        <v>23883</v>
      </c>
      <c r="L252">
        <v>-119415</v>
      </c>
      <c r="M252" t="s">
        <v>444</v>
      </c>
      <c r="N252" t="s">
        <v>443</v>
      </c>
    </row>
    <row r="253" spans="1:14" x14ac:dyDescent="0.25">
      <c r="A253" s="18">
        <v>45841</v>
      </c>
      <c r="B253" t="s">
        <v>319</v>
      </c>
      <c r="C253" t="s">
        <v>361</v>
      </c>
      <c r="D253" t="s">
        <v>93</v>
      </c>
      <c r="E253" t="s">
        <v>94</v>
      </c>
      <c r="F253" t="s">
        <v>21</v>
      </c>
      <c r="G253">
        <v>-1110</v>
      </c>
      <c r="H253">
        <v>90.200999999999993</v>
      </c>
      <c r="I253">
        <v>100123.10999999999</v>
      </c>
      <c r="K253">
        <v>90.200999999999993</v>
      </c>
      <c r="L253">
        <v>100123.10999999999</v>
      </c>
      <c r="M253" t="s">
        <v>93</v>
      </c>
      <c r="N253" t="s">
        <v>361</v>
      </c>
    </row>
    <row r="254" spans="1:14" x14ac:dyDescent="0.25">
      <c r="A254" s="18">
        <v>45841</v>
      </c>
      <c r="B254" t="s">
        <v>289</v>
      </c>
      <c r="C254" t="s">
        <v>458</v>
      </c>
      <c r="D254" t="s">
        <v>459</v>
      </c>
      <c r="E254" t="s">
        <v>460</v>
      </c>
      <c r="F254" t="s">
        <v>82</v>
      </c>
      <c r="G254">
        <v>2252</v>
      </c>
      <c r="H254">
        <v>83.472999999999999</v>
      </c>
      <c r="I254">
        <v>-187981.196</v>
      </c>
      <c r="K254">
        <v>83.472999999999999</v>
      </c>
      <c r="L254">
        <v>-187981.196</v>
      </c>
      <c r="M254" t="s">
        <v>459</v>
      </c>
      <c r="N254" t="s">
        <v>458</v>
      </c>
    </row>
    <row r="255" spans="1:14" x14ac:dyDescent="0.25">
      <c r="A255" s="18">
        <v>45841</v>
      </c>
      <c r="B255" t="s">
        <v>289</v>
      </c>
      <c r="C255" t="s">
        <v>328</v>
      </c>
      <c r="D255" t="s">
        <v>329</v>
      </c>
      <c r="E255" t="s">
        <v>330</v>
      </c>
      <c r="F255" t="s">
        <v>21</v>
      </c>
      <c r="G255">
        <v>59</v>
      </c>
      <c r="H255">
        <v>1700.4237000000001</v>
      </c>
      <c r="I255">
        <v>-100324.99830000001</v>
      </c>
      <c r="K255">
        <v>1700.4237000000001</v>
      </c>
      <c r="L255">
        <v>-100324.99830000001</v>
      </c>
      <c r="M255" t="s">
        <v>329</v>
      </c>
      <c r="N255" t="s">
        <v>328</v>
      </c>
    </row>
    <row r="256" spans="1:14" x14ac:dyDescent="0.25">
      <c r="A256" s="18">
        <v>45841</v>
      </c>
      <c r="B256" t="s">
        <v>319</v>
      </c>
      <c r="C256" t="s">
        <v>323</v>
      </c>
      <c r="D256" t="s">
        <v>39</v>
      </c>
      <c r="E256" t="s">
        <v>40</v>
      </c>
      <c r="F256" t="s">
        <v>36</v>
      </c>
      <c r="G256">
        <v>-6006</v>
      </c>
      <c r="H256">
        <v>14.525499999999999</v>
      </c>
      <c r="I256">
        <v>87240.152999999991</v>
      </c>
      <c r="K256">
        <v>14.525499999999999</v>
      </c>
      <c r="L256">
        <v>87240.152999999991</v>
      </c>
      <c r="M256" t="s">
        <v>39</v>
      </c>
      <c r="N256" t="s">
        <v>323</v>
      </c>
    </row>
    <row r="257" spans="1:14" x14ac:dyDescent="0.25">
      <c r="A257" s="18">
        <v>45841</v>
      </c>
      <c r="B257" t="s">
        <v>319</v>
      </c>
      <c r="C257" t="s">
        <v>386</v>
      </c>
      <c r="D257" t="s">
        <v>60</v>
      </c>
      <c r="E257" t="s">
        <v>387</v>
      </c>
      <c r="F257" t="s">
        <v>21</v>
      </c>
      <c r="G257">
        <v>-3355</v>
      </c>
      <c r="H257">
        <v>44.616399999999999</v>
      </c>
      <c r="I257">
        <v>149688.022</v>
      </c>
      <c r="K257">
        <v>44.616399999999999</v>
      </c>
      <c r="L257">
        <v>149688.022</v>
      </c>
      <c r="M257" t="s">
        <v>60</v>
      </c>
      <c r="N257" t="s">
        <v>386</v>
      </c>
    </row>
    <row r="258" spans="1:14" x14ac:dyDescent="0.25">
      <c r="A258" s="18">
        <v>45841</v>
      </c>
      <c r="B258" t="s">
        <v>289</v>
      </c>
      <c r="C258" t="s">
        <v>461</v>
      </c>
      <c r="D258" t="s">
        <v>462</v>
      </c>
      <c r="E258" t="s">
        <v>463</v>
      </c>
      <c r="F258" t="s">
        <v>49</v>
      </c>
      <c r="G258">
        <v>862</v>
      </c>
      <c r="H258">
        <v>202.81970000000001</v>
      </c>
      <c r="I258">
        <v>-174830.58140000002</v>
      </c>
      <c r="K258">
        <v>202.81970000000004</v>
      </c>
      <c r="L258">
        <v>-174830.58140000002</v>
      </c>
      <c r="M258" t="s">
        <v>462</v>
      </c>
      <c r="N258" t="s">
        <v>461</v>
      </c>
    </row>
    <row r="259" spans="1:14" x14ac:dyDescent="0.25">
      <c r="A259" s="18">
        <v>45841</v>
      </c>
      <c r="B259" t="s">
        <v>289</v>
      </c>
      <c r="C259" t="s">
        <v>464</v>
      </c>
      <c r="D259" t="s">
        <v>465</v>
      </c>
      <c r="E259" t="s">
        <v>265</v>
      </c>
      <c r="F259" t="s">
        <v>49</v>
      </c>
      <c r="G259">
        <v>3895</v>
      </c>
      <c r="H259">
        <v>21.235299999999999</v>
      </c>
      <c r="I259">
        <v>-82711.493499999997</v>
      </c>
      <c r="K259">
        <v>21.235299999999999</v>
      </c>
      <c r="L259">
        <v>-82711.493499999997</v>
      </c>
      <c r="M259" t="s">
        <v>465</v>
      </c>
      <c r="N259" t="s">
        <v>464</v>
      </c>
    </row>
    <row r="260" spans="1:14" x14ac:dyDescent="0.25">
      <c r="A260" s="18">
        <v>45845</v>
      </c>
      <c r="B260" t="s">
        <v>289</v>
      </c>
      <c r="C260" t="s">
        <v>396</v>
      </c>
      <c r="D260" t="s">
        <v>466</v>
      </c>
      <c r="E260" t="s">
        <v>467</v>
      </c>
      <c r="F260" t="s">
        <v>49</v>
      </c>
      <c r="G260">
        <v>3</v>
      </c>
      <c r="H260">
        <v>111.046875</v>
      </c>
      <c r="I260">
        <v>-333140.625</v>
      </c>
      <c r="K260">
        <v>111.046875</v>
      </c>
      <c r="L260">
        <v>-333140.625</v>
      </c>
      <c r="M260" t="s">
        <v>466</v>
      </c>
      <c r="N260" t="s">
        <v>396</v>
      </c>
    </row>
    <row r="261" spans="1:14" x14ac:dyDescent="0.25">
      <c r="A261" s="18">
        <v>45845</v>
      </c>
      <c r="B261" t="s">
        <v>289</v>
      </c>
      <c r="C261" t="s">
        <v>425</v>
      </c>
      <c r="D261" t="s">
        <v>426</v>
      </c>
      <c r="E261" t="s">
        <v>427</v>
      </c>
      <c r="F261" t="s">
        <v>49</v>
      </c>
      <c r="G261">
        <v>8900</v>
      </c>
      <c r="H261">
        <v>19.545000000000002</v>
      </c>
      <c r="I261">
        <v>-173950.50000000003</v>
      </c>
      <c r="K261">
        <v>19.545000000000002</v>
      </c>
      <c r="L261">
        <v>-173950.50000000003</v>
      </c>
      <c r="M261" t="s">
        <v>426</v>
      </c>
      <c r="N261" t="s">
        <v>425</v>
      </c>
    </row>
    <row r="262" spans="1:14" x14ac:dyDescent="0.25">
      <c r="A262" s="18">
        <v>45847</v>
      </c>
      <c r="B262" t="s">
        <v>319</v>
      </c>
      <c r="C262" t="s">
        <v>424</v>
      </c>
      <c r="D262" t="s">
        <v>41</v>
      </c>
      <c r="E262" t="s">
        <v>42</v>
      </c>
      <c r="F262" t="s">
        <v>36</v>
      </c>
      <c r="G262">
        <v>-26580</v>
      </c>
      <c r="H262">
        <v>9.8425999999999991</v>
      </c>
      <c r="I262">
        <v>261616.30799999999</v>
      </c>
      <c r="K262">
        <v>9.8425999999999991</v>
      </c>
      <c r="L262">
        <v>261616.30799999999</v>
      </c>
      <c r="M262" t="s">
        <v>41</v>
      </c>
      <c r="N262" t="s">
        <v>424</v>
      </c>
    </row>
    <row r="263" spans="1:14" x14ac:dyDescent="0.25">
      <c r="A263" s="18">
        <v>45849</v>
      </c>
      <c r="B263" t="s">
        <v>319</v>
      </c>
      <c r="C263" t="s">
        <v>328</v>
      </c>
      <c r="D263" t="s">
        <v>329</v>
      </c>
      <c r="E263" t="s">
        <v>330</v>
      </c>
      <c r="F263" t="s">
        <v>21</v>
      </c>
      <c r="G263">
        <v>-27</v>
      </c>
      <c r="H263">
        <v>1831.5</v>
      </c>
      <c r="I263">
        <v>49450.5</v>
      </c>
      <c r="K263">
        <v>1831.5</v>
      </c>
      <c r="L263">
        <v>49450.5</v>
      </c>
      <c r="M263" t="s">
        <v>329</v>
      </c>
      <c r="N263" t="s">
        <v>328</v>
      </c>
    </row>
    <row r="264" spans="1:14" x14ac:dyDescent="0.25">
      <c r="A264" s="18">
        <v>45849</v>
      </c>
      <c r="B264" t="s">
        <v>319</v>
      </c>
      <c r="C264" t="s">
        <v>358</v>
      </c>
      <c r="D264" t="s">
        <v>359</v>
      </c>
      <c r="E264" t="s">
        <v>360</v>
      </c>
      <c r="F264" t="s">
        <v>21</v>
      </c>
      <c r="G264">
        <v>-2273</v>
      </c>
      <c r="H264">
        <v>21.8</v>
      </c>
      <c r="I264">
        <v>49551.4</v>
      </c>
      <c r="K264">
        <v>21.8</v>
      </c>
      <c r="L264">
        <v>49551.4</v>
      </c>
      <c r="M264" t="s">
        <v>359</v>
      </c>
      <c r="N264" t="s">
        <v>358</v>
      </c>
    </row>
    <row r="265" spans="1:14" x14ac:dyDescent="0.25">
      <c r="A265" s="18">
        <v>45849</v>
      </c>
      <c r="B265" t="s">
        <v>319</v>
      </c>
      <c r="C265" t="s">
        <v>380</v>
      </c>
      <c r="D265" t="s">
        <v>381</v>
      </c>
      <c r="E265" t="s">
        <v>382</v>
      </c>
      <c r="F265" t="s">
        <v>21</v>
      </c>
      <c r="G265">
        <v>-31</v>
      </c>
      <c r="H265">
        <v>2425.13</v>
      </c>
      <c r="I265">
        <v>75179.03</v>
      </c>
      <c r="K265">
        <v>2425.13</v>
      </c>
      <c r="L265">
        <v>75179.03</v>
      </c>
      <c r="M265" t="s">
        <v>381</v>
      </c>
      <c r="N265" t="s">
        <v>380</v>
      </c>
    </row>
    <row r="266" spans="1:14" x14ac:dyDescent="0.25">
      <c r="A266" s="18">
        <v>45849</v>
      </c>
      <c r="B266" t="s">
        <v>289</v>
      </c>
      <c r="C266" t="s">
        <v>455</v>
      </c>
      <c r="D266" t="s">
        <v>456</v>
      </c>
      <c r="E266" t="s">
        <v>457</v>
      </c>
      <c r="F266" t="s">
        <v>21</v>
      </c>
      <c r="G266">
        <v>2</v>
      </c>
      <c r="H266">
        <v>122.84</v>
      </c>
      <c r="I266">
        <v>-245680</v>
      </c>
      <c r="K266">
        <v>122.84</v>
      </c>
      <c r="L266">
        <v>-245680</v>
      </c>
      <c r="M266" t="s">
        <v>456</v>
      </c>
      <c r="N266" t="s">
        <v>455</v>
      </c>
    </row>
    <row r="267" spans="1:14" x14ac:dyDescent="0.25">
      <c r="A267" s="18">
        <v>45849</v>
      </c>
      <c r="B267" t="s">
        <v>319</v>
      </c>
      <c r="C267" t="s">
        <v>443</v>
      </c>
      <c r="D267" t="s">
        <v>444</v>
      </c>
      <c r="E267" t="s">
        <v>445</v>
      </c>
      <c r="F267" t="s">
        <v>21</v>
      </c>
      <c r="G267">
        <v>-1</v>
      </c>
      <c r="H267">
        <v>24432</v>
      </c>
      <c r="I267">
        <v>122160</v>
      </c>
      <c r="K267">
        <v>24432</v>
      </c>
      <c r="L267">
        <v>122160</v>
      </c>
      <c r="M267" t="s">
        <v>444</v>
      </c>
      <c r="N267" t="s">
        <v>443</v>
      </c>
    </row>
    <row r="268" spans="1:14" x14ac:dyDescent="0.25">
      <c r="A268" s="18">
        <v>45849</v>
      </c>
      <c r="B268" t="s">
        <v>319</v>
      </c>
      <c r="C268" t="s">
        <v>435</v>
      </c>
      <c r="D268" t="s">
        <v>99</v>
      </c>
      <c r="E268" t="s">
        <v>100</v>
      </c>
      <c r="F268" t="s">
        <v>21</v>
      </c>
      <c r="G268">
        <v>-10250</v>
      </c>
      <c r="H268">
        <v>7.2990000000000004</v>
      </c>
      <c r="I268">
        <v>74814.75</v>
      </c>
      <c r="K268">
        <v>7.2990000000000004</v>
      </c>
      <c r="L268">
        <v>74814.75</v>
      </c>
      <c r="M268" t="s">
        <v>99</v>
      </c>
      <c r="N268" t="s">
        <v>435</v>
      </c>
    </row>
    <row r="269" spans="1:14" x14ac:dyDescent="0.25">
      <c r="A269" s="18">
        <v>45849</v>
      </c>
      <c r="B269" t="s">
        <v>319</v>
      </c>
      <c r="C269" t="s">
        <v>452</v>
      </c>
      <c r="D269" t="s">
        <v>453</v>
      </c>
      <c r="E269" t="s">
        <v>454</v>
      </c>
      <c r="F269" t="s">
        <v>162</v>
      </c>
      <c r="G269">
        <v>-3400</v>
      </c>
      <c r="H269">
        <v>162.59469999999999</v>
      </c>
      <c r="I269">
        <v>552821.98</v>
      </c>
      <c r="K269">
        <v>162.59469999999999</v>
      </c>
      <c r="L269">
        <v>552821.98</v>
      </c>
      <c r="M269" t="s">
        <v>453</v>
      </c>
      <c r="N269" t="s">
        <v>452</v>
      </c>
    </row>
    <row r="270" spans="1:14" x14ac:dyDescent="0.25">
      <c r="A270" s="18">
        <v>45849</v>
      </c>
      <c r="B270" t="s">
        <v>319</v>
      </c>
      <c r="C270" t="s">
        <v>331</v>
      </c>
      <c r="D270" t="s">
        <v>332</v>
      </c>
      <c r="E270" t="s">
        <v>333</v>
      </c>
      <c r="F270" t="s">
        <v>21</v>
      </c>
      <c r="G270">
        <v>-50</v>
      </c>
      <c r="H270">
        <v>1519.5440000000001</v>
      </c>
      <c r="I270">
        <v>75977.200000000012</v>
      </c>
      <c r="K270">
        <v>1519.5440000000003</v>
      </c>
      <c r="L270">
        <v>75977.200000000012</v>
      </c>
      <c r="M270" t="s">
        <v>332</v>
      </c>
      <c r="N270" t="s">
        <v>331</v>
      </c>
    </row>
    <row r="271" spans="1:14" x14ac:dyDescent="0.25">
      <c r="A271" s="18">
        <v>45853</v>
      </c>
      <c r="B271" t="s">
        <v>289</v>
      </c>
      <c r="C271" t="s">
        <v>468</v>
      </c>
      <c r="D271" t="s">
        <v>469</v>
      </c>
      <c r="E271" t="s">
        <v>470</v>
      </c>
      <c r="F271" t="s">
        <v>49</v>
      </c>
      <c r="G271">
        <v>1161</v>
      </c>
      <c r="H271">
        <v>100.7216</v>
      </c>
      <c r="I271">
        <v>-116937.7776</v>
      </c>
      <c r="K271">
        <v>100.7216</v>
      </c>
      <c r="L271">
        <v>-116937.7776</v>
      </c>
      <c r="M271" t="s">
        <v>469</v>
      </c>
      <c r="N271" t="s">
        <v>468</v>
      </c>
    </row>
    <row r="272" spans="1:14" x14ac:dyDescent="0.25">
      <c r="A272" s="18">
        <v>45853</v>
      </c>
      <c r="B272" t="s">
        <v>289</v>
      </c>
      <c r="C272" t="s">
        <v>471</v>
      </c>
      <c r="D272" t="s">
        <v>472</v>
      </c>
      <c r="E272" t="s">
        <v>473</v>
      </c>
      <c r="F272" t="s">
        <v>49</v>
      </c>
      <c r="G272">
        <v>6072</v>
      </c>
      <c r="H272">
        <v>19.1023</v>
      </c>
      <c r="I272">
        <v>-115989.16559999999</v>
      </c>
      <c r="K272">
        <v>19.1023</v>
      </c>
      <c r="L272">
        <v>-115989.16559999999</v>
      </c>
      <c r="M272" t="s">
        <v>472</v>
      </c>
      <c r="N272" t="s">
        <v>471</v>
      </c>
    </row>
    <row r="273" spans="1:14" x14ac:dyDescent="0.25">
      <c r="A273" s="18">
        <v>45854</v>
      </c>
      <c r="B273" t="s">
        <v>289</v>
      </c>
      <c r="C273" t="s">
        <v>474</v>
      </c>
      <c r="D273" t="s">
        <v>475</v>
      </c>
      <c r="E273" t="s">
        <v>476</v>
      </c>
      <c r="F273" t="s">
        <v>21</v>
      </c>
      <c r="G273">
        <v>4850</v>
      </c>
      <c r="H273">
        <v>28.07</v>
      </c>
      <c r="I273">
        <v>-136139.5</v>
      </c>
      <c r="K273">
        <v>28.07</v>
      </c>
      <c r="L273">
        <v>-136139.5</v>
      </c>
      <c r="M273" t="s">
        <v>475</v>
      </c>
      <c r="N273" t="s">
        <v>474</v>
      </c>
    </row>
    <row r="274" spans="1:14" x14ac:dyDescent="0.25">
      <c r="A274" s="18">
        <v>45855</v>
      </c>
      <c r="B274" t="s">
        <v>319</v>
      </c>
      <c r="C274" t="s">
        <v>421</v>
      </c>
      <c r="D274" t="s">
        <v>422</v>
      </c>
      <c r="E274" t="s">
        <v>423</v>
      </c>
      <c r="F274" t="s">
        <v>49</v>
      </c>
      <c r="G274">
        <v>-2361</v>
      </c>
      <c r="H274">
        <v>90.475200000000001</v>
      </c>
      <c r="I274">
        <v>213611.9472</v>
      </c>
      <c r="K274">
        <v>90.475200000000001</v>
      </c>
      <c r="L274">
        <v>213611.9472</v>
      </c>
      <c r="M274" t="s">
        <v>422</v>
      </c>
      <c r="N274" t="s">
        <v>421</v>
      </c>
    </row>
    <row r="275" spans="1:14" x14ac:dyDescent="0.25">
      <c r="A275" s="18">
        <v>45855</v>
      </c>
      <c r="B275" t="s">
        <v>289</v>
      </c>
      <c r="C275" t="s">
        <v>425</v>
      </c>
      <c r="D275" t="s">
        <v>426</v>
      </c>
      <c r="E275" t="s">
        <v>427</v>
      </c>
      <c r="F275" t="s">
        <v>49</v>
      </c>
      <c r="G275">
        <v>4035</v>
      </c>
      <c r="H275">
        <v>20.317499999999999</v>
      </c>
      <c r="I275">
        <v>-81981.112500000003</v>
      </c>
      <c r="K275">
        <v>20.317499999999999</v>
      </c>
      <c r="L275">
        <v>-81981.112500000003</v>
      </c>
      <c r="M275" t="s">
        <v>426</v>
      </c>
      <c r="N275" t="s">
        <v>425</v>
      </c>
    </row>
    <row r="276" spans="1:14" x14ac:dyDescent="0.25">
      <c r="A276" s="18">
        <v>45855</v>
      </c>
      <c r="B276" t="s">
        <v>289</v>
      </c>
      <c r="C276" t="s">
        <v>464</v>
      </c>
      <c r="D276" t="s">
        <v>465</v>
      </c>
      <c r="E276" t="s">
        <v>265</v>
      </c>
      <c r="F276" t="s">
        <v>49</v>
      </c>
      <c r="G276">
        <v>3960</v>
      </c>
      <c r="H276">
        <v>20.648</v>
      </c>
      <c r="I276">
        <v>-81766.080000000002</v>
      </c>
      <c r="K276">
        <v>20.648</v>
      </c>
      <c r="L276">
        <v>-81766.080000000002</v>
      </c>
      <c r="M276" t="s">
        <v>465</v>
      </c>
      <c r="N276" t="s">
        <v>464</v>
      </c>
    </row>
    <row r="277" spans="1:14" x14ac:dyDescent="0.25">
      <c r="A277" s="18">
        <v>45855</v>
      </c>
      <c r="B277" t="s">
        <v>289</v>
      </c>
      <c r="C277" t="s">
        <v>452</v>
      </c>
      <c r="D277" t="s">
        <v>453</v>
      </c>
      <c r="E277" t="s">
        <v>454</v>
      </c>
      <c r="F277" t="s">
        <v>162</v>
      </c>
      <c r="G277">
        <v>7190</v>
      </c>
      <c r="H277">
        <v>162.9</v>
      </c>
      <c r="I277">
        <v>-1171251</v>
      </c>
      <c r="K277">
        <v>162.9</v>
      </c>
      <c r="L277">
        <v>-1171251</v>
      </c>
      <c r="M277" t="s">
        <v>453</v>
      </c>
      <c r="N277" t="s">
        <v>452</v>
      </c>
    </row>
    <row r="278" spans="1:14" x14ac:dyDescent="0.25">
      <c r="A278" s="18">
        <v>45855</v>
      </c>
      <c r="B278" t="s">
        <v>319</v>
      </c>
      <c r="C278" t="s">
        <v>412</v>
      </c>
      <c r="D278" t="s">
        <v>413</v>
      </c>
      <c r="E278" t="s">
        <v>414</v>
      </c>
      <c r="F278" t="s">
        <v>49</v>
      </c>
      <c r="G278">
        <v>-676</v>
      </c>
      <c r="H278">
        <v>182.19800000000001</v>
      </c>
      <c r="I278">
        <v>123165.848</v>
      </c>
      <c r="K278">
        <v>182.19800000000001</v>
      </c>
      <c r="L278">
        <v>123165.848</v>
      </c>
      <c r="M278" t="s">
        <v>413</v>
      </c>
      <c r="N278" t="s">
        <v>412</v>
      </c>
    </row>
    <row r="279" spans="1:14" x14ac:dyDescent="0.25">
      <c r="A279" s="18">
        <v>45856</v>
      </c>
      <c r="B279" t="s">
        <v>289</v>
      </c>
      <c r="C279" t="s">
        <v>314</v>
      </c>
      <c r="D279" t="s">
        <v>315</v>
      </c>
      <c r="E279" t="s">
        <v>362</v>
      </c>
      <c r="F279" t="s">
        <v>21</v>
      </c>
      <c r="G279">
        <v>2574</v>
      </c>
      <c r="H279">
        <v>23.32</v>
      </c>
      <c r="I279">
        <v>-60025.68</v>
      </c>
      <c r="K279">
        <v>23.32</v>
      </c>
      <c r="L279">
        <v>-60025.68</v>
      </c>
      <c r="M279" t="s">
        <v>315</v>
      </c>
      <c r="N279" t="s">
        <v>314</v>
      </c>
    </row>
    <row r="280" spans="1:14" x14ac:dyDescent="0.25">
      <c r="A280" s="18">
        <v>45856</v>
      </c>
      <c r="B280" t="s">
        <v>289</v>
      </c>
      <c r="C280" t="s">
        <v>358</v>
      </c>
      <c r="D280" t="s">
        <v>359</v>
      </c>
      <c r="E280" t="s">
        <v>360</v>
      </c>
      <c r="F280" t="s">
        <v>21</v>
      </c>
      <c r="G280">
        <v>3810</v>
      </c>
      <c r="H280">
        <v>21.8</v>
      </c>
      <c r="I280">
        <v>-83058</v>
      </c>
      <c r="K280">
        <v>21.8</v>
      </c>
      <c r="L280">
        <v>-83058</v>
      </c>
      <c r="M280" t="s">
        <v>359</v>
      </c>
      <c r="N280" t="s">
        <v>358</v>
      </c>
    </row>
    <row r="281" spans="1:14" x14ac:dyDescent="0.25">
      <c r="A281" s="18">
        <v>45856</v>
      </c>
      <c r="B281" t="s">
        <v>289</v>
      </c>
      <c r="C281" t="s">
        <v>316</v>
      </c>
      <c r="D281" t="s">
        <v>317</v>
      </c>
      <c r="E281" t="s">
        <v>274</v>
      </c>
      <c r="F281" t="s">
        <v>21</v>
      </c>
      <c r="G281">
        <v>1473</v>
      </c>
      <c r="H281">
        <v>53.922199999999997</v>
      </c>
      <c r="I281">
        <v>-79427.400599999994</v>
      </c>
      <c r="K281">
        <v>53.922199999999997</v>
      </c>
      <c r="L281">
        <v>-79427.400599999994</v>
      </c>
      <c r="M281" t="s">
        <v>317</v>
      </c>
      <c r="N281" t="s">
        <v>316</v>
      </c>
    </row>
    <row r="282" spans="1:14" x14ac:dyDescent="0.25">
      <c r="A282" s="18">
        <v>45856</v>
      </c>
      <c r="B282" t="s">
        <v>289</v>
      </c>
      <c r="C282" t="s">
        <v>316</v>
      </c>
      <c r="D282" t="s">
        <v>317</v>
      </c>
      <c r="E282" t="s">
        <v>274</v>
      </c>
      <c r="F282" t="s">
        <v>21</v>
      </c>
      <c r="G282">
        <v>928</v>
      </c>
      <c r="H282">
        <v>53.5</v>
      </c>
      <c r="I282">
        <v>-49648</v>
      </c>
      <c r="K282">
        <v>53.5</v>
      </c>
      <c r="L282">
        <v>-49648</v>
      </c>
      <c r="M282" t="s">
        <v>317</v>
      </c>
      <c r="N282" t="s">
        <v>316</v>
      </c>
    </row>
    <row r="283" spans="1:14" x14ac:dyDescent="0.25">
      <c r="A283" s="18">
        <v>45856</v>
      </c>
      <c r="B283" t="s">
        <v>319</v>
      </c>
      <c r="C283" t="s">
        <v>452</v>
      </c>
      <c r="D283" t="s">
        <v>453</v>
      </c>
      <c r="E283" t="s">
        <v>454</v>
      </c>
      <c r="F283" t="s">
        <v>162</v>
      </c>
      <c r="G283">
        <v>-12590</v>
      </c>
      <c r="H283">
        <v>152.90899999999999</v>
      </c>
      <c r="I283">
        <v>1925124.3099999998</v>
      </c>
      <c r="K283">
        <v>152.90899999999999</v>
      </c>
      <c r="L283">
        <v>1925124.3099999998</v>
      </c>
      <c r="M283" t="s">
        <v>453</v>
      </c>
      <c r="N283" t="s">
        <v>452</v>
      </c>
    </row>
    <row r="284" spans="1:14" x14ac:dyDescent="0.25">
      <c r="A284" s="18">
        <v>45856</v>
      </c>
      <c r="B284" t="s">
        <v>319</v>
      </c>
      <c r="C284" t="s">
        <v>375</v>
      </c>
      <c r="D284" t="s">
        <v>376</v>
      </c>
      <c r="E284" t="s">
        <v>377</v>
      </c>
      <c r="F284" t="s">
        <v>21</v>
      </c>
      <c r="G284">
        <v>-3850</v>
      </c>
      <c r="H284">
        <v>20.866499999999998</v>
      </c>
      <c r="I284">
        <v>80336.024999999994</v>
      </c>
      <c r="K284">
        <v>20.866499999999998</v>
      </c>
      <c r="L284">
        <v>80336.024999999994</v>
      </c>
      <c r="M284" t="s">
        <v>376</v>
      </c>
      <c r="N284" t="s">
        <v>375</v>
      </c>
    </row>
    <row r="285" spans="1:14" x14ac:dyDescent="0.25">
      <c r="A285" s="18">
        <v>45859</v>
      </c>
      <c r="B285" t="s">
        <v>289</v>
      </c>
      <c r="C285" t="s">
        <v>290</v>
      </c>
      <c r="D285" t="s">
        <v>45</v>
      </c>
      <c r="E285" t="s">
        <v>46</v>
      </c>
      <c r="F285" t="s">
        <v>21</v>
      </c>
      <c r="G285">
        <v>2129</v>
      </c>
      <c r="H285">
        <v>47.009</v>
      </c>
      <c r="I285">
        <v>-100082.16100000001</v>
      </c>
      <c r="K285">
        <v>47.009</v>
      </c>
      <c r="L285">
        <v>-100082.16100000001</v>
      </c>
      <c r="M285" t="s">
        <v>45</v>
      </c>
      <c r="N285" t="s">
        <v>290</v>
      </c>
    </row>
    <row r="286" spans="1:14" x14ac:dyDescent="0.25">
      <c r="A286" s="18">
        <v>45859</v>
      </c>
      <c r="B286" t="s">
        <v>289</v>
      </c>
      <c r="C286" t="s">
        <v>314</v>
      </c>
      <c r="D286" t="s">
        <v>315</v>
      </c>
      <c r="E286" t="s">
        <v>362</v>
      </c>
      <c r="F286" t="s">
        <v>21</v>
      </c>
      <c r="G286">
        <v>4114</v>
      </c>
      <c r="H286">
        <v>24.33</v>
      </c>
      <c r="I286">
        <v>-100093.62</v>
      </c>
      <c r="K286">
        <v>24.33</v>
      </c>
      <c r="L286">
        <v>-100093.62</v>
      </c>
      <c r="M286" t="s">
        <v>315</v>
      </c>
      <c r="N286" t="s">
        <v>314</v>
      </c>
    </row>
    <row r="287" spans="1:14" x14ac:dyDescent="0.25">
      <c r="A287" s="18">
        <v>45859</v>
      </c>
      <c r="B287" t="s">
        <v>289</v>
      </c>
      <c r="C287" t="s">
        <v>468</v>
      </c>
      <c r="D287" t="s">
        <v>469</v>
      </c>
      <c r="E287" t="s">
        <v>470</v>
      </c>
      <c r="F287" t="s">
        <v>49</v>
      </c>
      <c r="G287">
        <v>533</v>
      </c>
      <c r="H287">
        <v>109.02</v>
      </c>
      <c r="I287">
        <v>-58107.659999999996</v>
      </c>
      <c r="K287">
        <v>109.02</v>
      </c>
      <c r="L287">
        <v>-58107.659999999996</v>
      </c>
      <c r="M287" t="s">
        <v>469</v>
      </c>
      <c r="N287" t="s">
        <v>468</v>
      </c>
    </row>
    <row r="288" spans="1:14" x14ac:dyDescent="0.25">
      <c r="A288" s="18">
        <v>45860</v>
      </c>
      <c r="B288" t="s">
        <v>289</v>
      </c>
      <c r="C288" t="s">
        <v>477</v>
      </c>
      <c r="D288" t="s">
        <v>478</v>
      </c>
      <c r="E288" t="s">
        <v>277</v>
      </c>
      <c r="F288" t="s">
        <v>157</v>
      </c>
      <c r="G288">
        <v>6472</v>
      </c>
      <c r="H288">
        <v>119.0291</v>
      </c>
      <c r="I288">
        <v>-770356.33519999997</v>
      </c>
      <c r="K288">
        <v>119.0291</v>
      </c>
      <c r="L288">
        <v>-770356.33519999997</v>
      </c>
      <c r="M288" t="s">
        <v>478</v>
      </c>
      <c r="N288" t="s">
        <v>477</v>
      </c>
    </row>
    <row r="289" spans="1:14" x14ac:dyDescent="0.25">
      <c r="A289" s="18">
        <v>45860</v>
      </c>
      <c r="B289" t="s">
        <v>289</v>
      </c>
      <c r="C289" t="s">
        <v>479</v>
      </c>
      <c r="D289" t="s">
        <v>480</v>
      </c>
      <c r="E289" t="s">
        <v>481</v>
      </c>
      <c r="F289" t="s">
        <v>21</v>
      </c>
      <c r="G289">
        <v>525</v>
      </c>
      <c r="H289">
        <v>175.18600000000001</v>
      </c>
      <c r="I289">
        <v>-91972.650000000009</v>
      </c>
      <c r="K289">
        <v>175.18600000000001</v>
      </c>
      <c r="L289">
        <v>-91972.650000000009</v>
      </c>
      <c r="M289" t="s">
        <v>480</v>
      </c>
      <c r="N289" t="s">
        <v>479</v>
      </c>
    </row>
    <row r="290" spans="1:14" x14ac:dyDescent="0.25">
      <c r="A290" s="18">
        <v>45860</v>
      </c>
      <c r="B290" t="s">
        <v>289</v>
      </c>
      <c r="C290" t="s">
        <v>468</v>
      </c>
      <c r="D290" t="s">
        <v>469</v>
      </c>
      <c r="E290" t="s">
        <v>470</v>
      </c>
      <c r="F290" t="s">
        <v>49</v>
      </c>
      <c r="G290">
        <v>580</v>
      </c>
      <c r="H290">
        <v>101.0363</v>
      </c>
      <c r="I290">
        <v>-58601.053999999996</v>
      </c>
      <c r="K290">
        <v>101.0363</v>
      </c>
      <c r="L290">
        <v>-58601.053999999996</v>
      </c>
      <c r="M290" t="s">
        <v>469</v>
      </c>
      <c r="N290" t="s">
        <v>468</v>
      </c>
    </row>
    <row r="291" spans="1:14" x14ac:dyDescent="0.25">
      <c r="A291" s="18">
        <v>45860</v>
      </c>
      <c r="B291" t="s">
        <v>289</v>
      </c>
      <c r="C291" t="s">
        <v>482</v>
      </c>
      <c r="D291" t="s">
        <v>483</v>
      </c>
      <c r="E291" t="s">
        <v>269</v>
      </c>
      <c r="F291" t="s">
        <v>49</v>
      </c>
      <c r="G291">
        <v>1184</v>
      </c>
      <c r="H291">
        <v>99.238500000000002</v>
      </c>
      <c r="I291">
        <v>-117498.38400000001</v>
      </c>
      <c r="K291">
        <v>99.238500000000002</v>
      </c>
      <c r="L291">
        <v>-117498.38400000001</v>
      </c>
      <c r="M291" t="s">
        <v>483</v>
      </c>
      <c r="N291" t="s">
        <v>482</v>
      </c>
    </row>
    <row r="292" spans="1:14" x14ac:dyDescent="0.25">
      <c r="A292" s="18">
        <v>45860</v>
      </c>
      <c r="B292" t="s">
        <v>289</v>
      </c>
      <c r="C292" t="s">
        <v>306</v>
      </c>
      <c r="D292" t="s">
        <v>112</v>
      </c>
      <c r="E292" t="s">
        <v>307</v>
      </c>
      <c r="F292" t="s">
        <v>21</v>
      </c>
      <c r="G292">
        <v>1154</v>
      </c>
      <c r="H292">
        <v>128.9</v>
      </c>
      <c r="I292">
        <v>-148750.6</v>
      </c>
      <c r="K292">
        <v>128.9</v>
      </c>
      <c r="L292">
        <v>-148750.6</v>
      </c>
      <c r="M292" t="s">
        <v>112</v>
      </c>
      <c r="N292" t="s">
        <v>306</v>
      </c>
    </row>
    <row r="293" spans="1:14" x14ac:dyDescent="0.25">
      <c r="A293" s="18">
        <v>45860</v>
      </c>
      <c r="B293" t="s">
        <v>289</v>
      </c>
      <c r="C293" t="s">
        <v>450</v>
      </c>
      <c r="D293" t="s">
        <v>116</v>
      </c>
      <c r="E293" t="s">
        <v>451</v>
      </c>
      <c r="F293" t="s">
        <v>21</v>
      </c>
      <c r="G293">
        <v>27000</v>
      </c>
      <c r="H293">
        <v>6.66</v>
      </c>
      <c r="I293">
        <v>-179820</v>
      </c>
      <c r="K293">
        <v>6.66</v>
      </c>
      <c r="L293">
        <v>-179820</v>
      </c>
      <c r="M293" t="s">
        <v>116</v>
      </c>
      <c r="N293" t="s">
        <v>450</v>
      </c>
    </row>
    <row r="294" spans="1:14" x14ac:dyDescent="0.25">
      <c r="A294" s="18">
        <v>45860</v>
      </c>
      <c r="B294" t="s">
        <v>319</v>
      </c>
      <c r="C294" t="s">
        <v>323</v>
      </c>
      <c r="D294" t="s">
        <v>39</v>
      </c>
      <c r="E294" t="s">
        <v>40</v>
      </c>
      <c r="F294" t="s">
        <v>36</v>
      </c>
      <c r="G294">
        <v>-4381</v>
      </c>
      <c r="H294">
        <v>14.84</v>
      </c>
      <c r="I294">
        <v>65014.04</v>
      </c>
      <c r="K294">
        <v>14.84</v>
      </c>
      <c r="L294">
        <v>65014.04</v>
      </c>
      <c r="M294" t="s">
        <v>39</v>
      </c>
      <c r="N294" t="s">
        <v>323</v>
      </c>
    </row>
    <row r="295" spans="1:14" x14ac:dyDescent="0.25">
      <c r="A295" s="18">
        <v>45860</v>
      </c>
      <c r="B295" t="s">
        <v>319</v>
      </c>
      <c r="C295" t="s">
        <v>386</v>
      </c>
      <c r="D295" t="s">
        <v>60</v>
      </c>
      <c r="E295" t="s">
        <v>387</v>
      </c>
      <c r="F295" t="s">
        <v>21</v>
      </c>
      <c r="G295">
        <v>-3320</v>
      </c>
      <c r="H295">
        <v>45.24</v>
      </c>
      <c r="I295">
        <v>150196.80000000002</v>
      </c>
      <c r="K295">
        <v>45.24</v>
      </c>
      <c r="L295">
        <v>150196.80000000002</v>
      </c>
      <c r="M295" t="s">
        <v>60</v>
      </c>
      <c r="N295" t="s">
        <v>386</v>
      </c>
    </row>
    <row r="296" spans="1:14" x14ac:dyDescent="0.25">
      <c r="A296" s="18">
        <v>45860</v>
      </c>
      <c r="B296" t="s">
        <v>319</v>
      </c>
      <c r="C296" t="s">
        <v>375</v>
      </c>
      <c r="D296" t="s">
        <v>376</v>
      </c>
      <c r="E296" t="s">
        <v>377</v>
      </c>
      <c r="F296" t="s">
        <v>21</v>
      </c>
      <c r="G296">
        <v>-7191</v>
      </c>
      <c r="H296">
        <v>20.8599</v>
      </c>
      <c r="I296">
        <v>150003.54089999999</v>
      </c>
      <c r="K296">
        <v>20.8599</v>
      </c>
      <c r="L296">
        <v>150003.54089999999</v>
      </c>
      <c r="M296" t="s">
        <v>376</v>
      </c>
      <c r="N296" t="s">
        <v>375</v>
      </c>
    </row>
    <row r="297" spans="1:14" x14ac:dyDescent="0.25">
      <c r="A297" s="18">
        <v>45861</v>
      </c>
      <c r="B297" t="s">
        <v>319</v>
      </c>
      <c r="C297" t="s">
        <v>479</v>
      </c>
      <c r="D297" t="s">
        <v>480</v>
      </c>
      <c r="E297" t="s">
        <v>481</v>
      </c>
      <c r="F297" t="s">
        <v>21</v>
      </c>
      <c r="G297">
        <v>-525</v>
      </c>
      <c r="H297">
        <v>173.3338</v>
      </c>
      <c r="I297">
        <v>91000.244999999995</v>
      </c>
      <c r="K297">
        <v>173.3338</v>
      </c>
      <c r="L297">
        <v>91000.244999999995</v>
      </c>
      <c r="M297" t="s">
        <v>480</v>
      </c>
      <c r="N297" t="s">
        <v>479</v>
      </c>
    </row>
    <row r="298" spans="1:14" x14ac:dyDescent="0.25">
      <c r="A298" s="18">
        <v>45861</v>
      </c>
      <c r="B298" t="s">
        <v>289</v>
      </c>
      <c r="C298" t="s">
        <v>471</v>
      </c>
      <c r="D298" t="s">
        <v>472</v>
      </c>
      <c r="E298" t="s">
        <v>473</v>
      </c>
      <c r="F298" t="s">
        <v>49</v>
      </c>
      <c r="G298">
        <v>3329</v>
      </c>
      <c r="H298">
        <v>17.690000000000001</v>
      </c>
      <c r="I298">
        <v>-58890.01</v>
      </c>
      <c r="K298">
        <v>17.690000000000001</v>
      </c>
      <c r="L298">
        <v>-58890.01</v>
      </c>
      <c r="M298" t="s">
        <v>472</v>
      </c>
      <c r="N298" t="s">
        <v>471</v>
      </c>
    </row>
    <row r="299" spans="1:14" x14ac:dyDescent="0.25">
      <c r="A299" s="18">
        <v>45861</v>
      </c>
      <c r="B299" t="s">
        <v>289</v>
      </c>
      <c r="C299" t="s">
        <v>323</v>
      </c>
      <c r="D299" t="s">
        <v>39</v>
      </c>
      <c r="E299" t="s">
        <v>40</v>
      </c>
      <c r="F299" t="s">
        <v>36</v>
      </c>
      <c r="G299">
        <v>3012</v>
      </c>
      <c r="H299">
        <v>14.5908</v>
      </c>
      <c r="I299">
        <v>-43947.489600000001</v>
      </c>
      <c r="K299">
        <v>14.5908</v>
      </c>
      <c r="L299">
        <v>-43947.489600000001</v>
      </c>
      <c r="M299" t="s">
        <v>39</v>
      </c>
      <c r="N299" t="s">
        <v>323</v>
      </c>
    </row>
    <row r="300" spans="1:14" x14ac:dyDescent="0.25">
      <c r="A300" s="18">
        <v>45861</v>
      </c>
      <c r="B300" t="s">
        <v>319</v>
      </c>
      <c r="C300" t="s">
        <v>386</v>
      </c>
      <c r="D300" t="s">
        <v>60</v>
      </c>
      <c r="E300" t="s">
        <v>387</v>
      </c>
      <c r="F300" t="s">
        <v>21</v>
      </c>
      <c r="G300">
        <v>-5144</v>
      </c>
      <c r="H300">
        <v>45.1569</v>
      </c>
      <c r="I300">
        <v>232287.09359999999</v>
      </c>
      <c r="K300">
        <v>45.1569</v>
      </c>
      <c r="L300">
        <v>232287.09359999999</v>
      </c>
      <c r="M300" t="s">
        <v>60</v>
      </c>
      <c r="N300" t="s">
        <v>386</v>
      </c>
    </row>
    <row r="301" spans="1:14" x14ac:dyDescent="0.25">
      <c r="A301" s="18">
        <v>45862</v>
      </c>
      <c r="B301" t="s">
        <v>289</v>
      </c>
      <c r="C301" t="s">
        <v>425</v>
      </c>
      <c r="D301" t="s">
        <v>426</v>
      </c>
      <c r="E301" t="s">
        <v>427</v>
      </c>
      <c r="F301" t="s">
        <v>49</v>
      </c>
      <c r="G301">
        <v>4705</v>
      </c>
      <c r="H301">
        <v>19.9649</v>
      </c>
      <c r="I301">
        <v>-93934.854500000001</v>
      </c>
      <c r="K301">
        <v>19.9649</v>
      </c>
      <c r="L301">
        <v>-93934.854500000001</v>
      </c>
      <c r="M301" t="s">
        <v>426</v>
      </c>
      <c r="N301" t="s">
        <v>425</v>
      </c>
    </row>
    <row r="302" spans="1:14" x14ac:dyDescent="0.25">
      <c r="A302" s="18">
        <v>45862</v>
      </c>
      <c r="B302" t="s">
        <v>289</v>
      </c>
      <c r="C302" t="s">
        <v>404</v>
      </c>
      <c r="D302" t="s">
        <v>405</v>
      </c>
      <c r="E302" t="s">
        <v>261</v>
      </c>
      <c r="F302" t="s">
        <v>21</v>
      </c>
      <c r="G302">
        <v>1864</v>
      </c>
      <c r="H302">
        <v>43.274099999999997</v>
      </c>
      <c r="I302">
        <v>-80662.922399999996</v>
      </c>
      <c r="K302">
        <v>43.274099999999997</v>
      </c>
      <c r="L302">
        <v>-80662.922399999996</v>
      </c>
      <c r="M302" t="s">
        <v>405</v>
      </c>
      <c r="N302" t="s">
        <v>404</v>
      </c>
    </row>
    <row r="303" spans="1:14" x14ac:dyDescent="0.25">
      <c r="A303" s="18">
        <v>45862</v>
      </c>
      <c r="B303" t="s">
        <v>289</v>
      </c>
      <c r="C303" t="s">
        <v>323</v>
      </c>
      <c r="D303" t="s">
        <v>39</v>
      </c>
      <c r="E303" t="s">
        <v>40</v>
      </c>
      <c r="F303" t="s">
        <v>36</v>
      </c>
      <c r="G303">
        <v>3020</v>
      </c>
      <c r="H303">
        <v>14.377800000000001</v>
      </c>
      <c r="I303">
        <v>-43420.955999999998</v>
      </c>
      <c r="K303">
        <v>14.377799999999999</v>
      </c>
      <c r="L303">
        <v>-43420.955999999998</v>
      </c>
      <c r="M303" t="s">
        <v>39</v>
      </c>
      <c r="N303" t="s">
        <v>323</v>
      </c>
    </row>
    <row r="304" spans="1:14" x14ac:dyDescent="0.25">
      <c r="A304" s="18">
        <v>45862</v>
      </c>
      <c r="B304" t="s">
        <v>289</v>
      </c>
      <c r="C304" t="s">
        <v>452</v>
      </c>
      <c r="D304" t="s">
        <v>453</v>
      </c>
      <c r="E304" t="s">
        <v>454</v>
      </c>
      <c r="F304" t="s">
        <v>162</v>
      </c>
      <c r="G304">
        <v>7320</v>
      </c>
      <c r="H304">
        <v>153.01480000000001</v>
      </c>
      <c r="I304">
        <v>-1120068.3360000001</v>
      </c>
      <c r="K304">
        <v>153.01480000000001</v>
      </c>
      <c r="L304">
        <v>-1120068.3360000001</v>
      </c>
      <c r="M304" t="s">
        <v>453</v>
      </c>
      <c r="N304" t="s">
        <v>452</v>
      </c>
    </row>
    <row r="305" spans="1:14" x14ac:dyDescent="0.25">
      <c r="A305" s="18">
        <v>45863</v>
      </c>
      <c r="B305" t="s">
        <v>319</v>
      </c>
      <c r="C305" t="s">
        <v>474</v>
      </c>
      <c r="D305" t="s">
        <v>475</v>
      </c>
      <c r="E305" t="s">
        <v>476</v>
      </c>
      <c r="F305" t="s">
        <v>21</v>
      </c>
      <c r="G305">
        <v>-4850</v>
      </c>
      <c r="H305">
        <v>27.55</v>
      </c>
      <c r="I305">
        <v>133617.5</v>
      </c>
      <c r="K305">
        <v>27.55</v>
      </c>
      <c r="L305">
        <v>133617.5</v>
      </c>
      <c r="M305" t="s">
        <v>475</v>
      </c>
      <c r="N305" t="s">
        <v>474</v>
      </c>
    </row>
    <row r="306" spans="1:14" x14ac:dyDescent="0.25">
      <c r="A306" s="18">
        <v>45863</v>
      </c>
      <c r="B306" t="s">
        <v>289</v>
      </c>
      <c r="C306" t="s">
        <v>484</v>
      </c>
      <c r="D306" t="s">
        <v>30</v>
      </c>
      <c r="E306" t="s">
        <v>31</v>
      </c>
      <c r="F306" t="s">
        <v>21</v>
      </c>
      <c r="G306">
        <v>645</v>
      </c>
      <c r="H306">
        <v>154.98330000000001</v>
      </c>
      <c r="I306">
        <v>-99964.228500000012</v>
      </c>
      <c r="K306">
        <v>154.98330000000001</v>
      </c>
      <c r="L306">
        <v>-99964.228500000012</v>
      </c>
      <c r="M306" t="s">
        <v>30</v>
      </c>
      <c r="N306" t="s">
        <v>484</v>
      </c>
    </row>
    <row r="307" spans="1:14" x14ac:dyDescent="0.25">
      <c r="A307" s="18">
        <v>45863</v>
      </c>
      <c r="B307" t="s">
        <v>289</v>
      </c>
      <c r="C307" t="s">
        <v>404</v>
      </c>
      <c r="D307" t="s">
        <v>405</v>
      </c>
      <c r="E307" t="s">
        <v>261</v>
      </c>
      <c r="F307" t="s">
        <v>21</v>
      </c>
      <c r="G307">
        <v>1555</v>
      </c>
      <c r="H307">
        <v>42.979799999999997</v>
      </c>
      <c r="I307">
        <v>-66833.588999999993</v>
      </c>
      <c r="K307">
        <v>42.979799999999997</v>
      </c>
      <c r="L307">
        <v>-66833.588999999993</v>
      </c>
      <c r="M307" t="s">
        <v>405</v>
      </c>
      <c r="N307" t="s">
        <v>404</v>
      </c>
    </row>
    <row r="308" spans="1:14" x14ac:dyDescent="0.25">
      <c r="A308" s="18">
        <v>45863</v>
      </c>
      <c r="B308" t="s">
        <v>289</v>
      </c>
      <c r="C308" t="s">
        <v>404</v>
      </c>
      <c r="D308" t="s">
        <v>405</v>
      </c>
      <c r="E308" t="s">
        <v>261</v>
      </c>
      <c r="F308" t="s">
        <v>21</v>
      </c>
      <c r="G308">
        <v>714</v>
      </c>
      <c r="H308">
        <v>41.761099999999999</v>
      </c>
      <c r="I308">
        <v>-29817.4254</v>
      </c>
      <c r="K308">
        <v>41.761099999999999</v>
      </c>
      <c r="L308">
        <v>-29817.4254</v>
      </c>
      <c r="M308" t="s">
        <v>405</v>
      </c>
      <c r="N308" t="s">
        <v>404</v>
      </c>
    </row>
    <row r="309" spans="1:14" x14ac:dyDescent="0.25">
      <c r="A309" s="18">
        <v>45863</v>
      </c>
      <c r="B309" t="s">
        <v>319</v>
      </c>
      <c r="C309" t="s">
        <v>380</v>
      </c>
      <c r="D309" t="s">
        <v>381</v>
      </c>
      <c r="E309" t="s">
        <v>382</v>
      </c>
      <c r="F309" t="s">
        <v>21</v>
      </c>
      <c r="G309">
        <v>-42</v>
      </c>
      <c r="H309">
        <v>2357</v>
      </c>
      <c r="I309">
        <v>98994</v>
      </c>
      <c r="K309">
        <v>2357</v>
      </c>
      <c r="L309">
        <v>98994</v>
      </c>
      <c r="M309" t="s">
        <v>381</v>
      </c>
      <c r="N309" t="s">
        <v>380</v>
      </c>
    </row>
    <row r="310" spans="1:14" x14ac:dyDescent="0.25">
      <c r="A310" s="18">
        <v>45863</v>
      </c>
      <c r="B310" t="s">
        <v>289</v>
      </c>
      <c r="C310" t="s">
        <v>455</v>
      </c>
      <c r="D310" t="s">
        <v>456</v>
      </c>
      <c r="E310" t="s">
        <v>457</v>
      </c>
      <c r="F310" t="s">
        <v>21</v>
      </c>
      <c r="G310">
        <v>2</v>
      </c>
      <c r="H310">
        <v>123.02500000000001</v>
      </c>
      <c r="I310">
        <v>-246050</v>
      </c>
      <c r="K310">
        <v>123.02500000000001</v>
      </c>
      <c r="L310">
        <v>-246050</v>
      </c>
      <c r="M310" t="s">
        <v>456</v>
      </c>
      <c r="N310" t="s">
        <v>455</v>
      </c>
    </row>
    <row r="311" spans="1:14" x14ac:dyDescent="0.25">
      <c r="A311" s="18">
        <v>45863</v>
      </c>
      <c r="B311" t="s">
        <v>289</v>
      </c>
      <c r="C311" t="s">
        <v>452</v>
      </c>
      <c r="D311" t="s">
        <v>453</v>
      </c>
      <c r="E311" t="s">
        <v>454</v>
      </c>
      <c r="F311" t="s">
        <v>162</v>
      </c>
      <c r="G311">
        <v>5005</v>
      </c>
      <c r="H311">
        <v>149.6456</v>
      </c>
      <c r="I311">
        <v>-748976.228</v>
      </c>
      <c r="K311">
        <v>149.6456</v>
      </c>
      <c r="L311">
        <v>-748976.228</v>
      </c>
      <c r="M311" t="s">
        <v>453</v>
      </c>
      <c r="N311" t="s">
        <v>452</v>
      </c>
    </row>
    <row r="312" spans="1:14" x14ac:dyDescent="0.25">
      <c r="A312" s="18">
        <v>45863</v>
      </c>
      <c r="B312" t="s">
        <v>289</v>
      </c>
      <c r="C312" t="s">
        <v>485</v>
      </c>
      <c r="D312" t="s">
        <v>95</v>
      </c>
      <c r="E312" t="s">
        <v>96</v>
      </c>
      <c r="F312" t="s">
        <v>21</v>
      </c>
      <c r="G312">
        <v>8522</v>
      </c>
      <c r="H312">
        <v>23.482700000000001</v>
      </c>
      <c r="I312">
        <v>-200119.56940000001</v>
      </c>
      <c r="K312">
        <v>23.482700000000001</v>
      </c>
      <c r="L312">
        <v>-200119.56940000001</v>
      </c>
      <c r="M312" t="s">
        <v>95</v>
      </c>
      <c r="N312" t="s">
        <v>485</v>
      </c>
    </row>
    <row r="313" spans="1:14" x14ac:dyDescent="0.25">
      <c r="A313" s="18">
        <v>45866</v>
      </c>
      <c r="B313" t="s">
        <v>289</v>
      </c>
      <c r="C313" t="s">
        <v>477</v>
      </c>
      <c r="D313" t="s">
        <v>478</v>
      </c>
      <c r="E313" t="s">
        <v>277</v>
      </c>
      <c r="F313" t="s">
        <v>157</v>
      </c>
      <c r="G313">
        <v>3020</v>
      </c>
      <c r="H313">
        <v>123.6386</v>
      </c>
      <c r="I313">
        <v>-373388.57199999999</v>
      </c>
      <c r="K313">
        <v>123.6386</v>
      </c>
      <c r="L313">
        <v>-373388.57199999999</v>
      </c>
      <c r="M313" t="s">
        <v>478</v>
      </c>
      <c r="N313" t="s">
        <v>477</v>
      </c>
    </row>
    <row r="314" spans="1:14" x14ac:dyDescent="0.25">
      <c r="A314" s="18">
        <v>45866</v>
      </c>
      <c r="B314" t="s">
        <v>319</v>
      </c>
      <c r="C314" t="s">
        <v>328</v>
      </c>
      <c r="D314" t="s">
        <v>329</v>
      </c>
      <c r="E314" t="s">
        <v>330</v>
      </c>
      <c r="F314" t="s">
        <v>21</v>
      </c>
      <c r="G314">
        <v>-59</v>
      </c>
      <c r="H314">
        <v>1678</v>
      </c>
      <c r="I314">
        <v>99002</v>
      </c>
      <c r="K314">
        <v>1678</v>
      </c>
      <c r="L314">
        <v>99002</v>
      </c>
      <c r="M314" t="s">
        <v>329</v>
      </c>
      <c r="N314" t="s">
        <v>328</v>
      </c>
    </row>
    <row r="315" spans="1:14" x14ac:dyDescent="0.25">
      <c r="A315" s="18">
        <v>45866</v>
      </c>
      <c r="B315" t="s">
        <v>289</v>
      </c>
      <c r="C315" t="s">
        <v>306</v>
      </c>
      <c r="D315" t="s">
        <v>112</v>
      </c>
      <c r="E315" t="s">
        <v>307</v>
      </c>
      <c r="F315" t="s">
        <v>21</v>
      </c>
      <c r="G315">
        <v>400</v>
      </c>
      <c r="H315">
        <v>129.02000000000001</v>
      </c>
      <c r="I315">
        <v>-51608.000000000007</v>
      </c>
      <c r="K315">
        <v>129.02000000000001</v>
      </c>
      <c r="L315">
        <v>-51608.000000000007</v>
      </c>
      <c r="M315" t="s">
        <v>112</v>
      </c>
      <c r="N315" t="s">
        <v>306</v>
      </c>
    </row>
    <row r="316" spans="1:14" x14ac:dyDescent="0.25">
      <c r="A316" s="18">
        <v>45866</v>
      </c>
      <c r="B316" t="s">
        <v>319</v>
      </c>
      <c r="C316" t="s">
        <v>461</v>
      </c>
      <c r="D316" t="s">
        <v>462</v>
      </c>
      <c r="E316" t="s">
        <v>463</v>
      </c>
      <c r="F316" t="s">
        <v>49</v>
      </c>
      <c r="G316">
        <v>-284</v>
      </c>
      <c r="H316">
        <v>206.5</v>
      </c>
      <c r="I316">
        <v>58646</v>
      </c>
      <c r="K316">
        <v>206.5</v>
      </c>
      <c r="L316">
        <v>58646</v>
      </c>
      <c r="M316" t="s">
        <v>462</v>
      </c>
      <c r="N316" t="s">
        <v>461</v>
      </c>
    </row>
    <row r="317" spans="1:14" x14ac:dyDescent="0.25">
      <c r="A317" s="18">
        <v>45866</v>
      </c>
      <c r="B317" t="s">
        <v>289</v>
      </c>
      <c r="C317" t="s">
        <v>464</v>
      </c>
      <c r="D317" t="s">
        <v>465</v>
      </c>
      <c r="E317" t="s">
        <v>265</v>
      </c>
      <c r="F317" t="s">
        <v>49</v>
      </c>
      <c r="G317">
        <v>2764</v>
      </c>
      <c r="H317">
        <v>21.238</v>
      </c>
      <c r="I317">
        <v>-58701.832000000002</v>
      </c>
      <c r="K317">
        <v>21.238</v>
      </c>
      <c r="L317">
        <v>-58701.832000000002</v>
      </c>
      <c r="M317" t="s">
        <v>465</v>
      </c>
      <c r="N317" t="s">
        <v>464</v>
      </c>
    </row>
    <row r="318" spans="1:14" x14ac:dyDescent="0.25">
      <c r="A318" s="18">
        <v>45867</v>
      </c>
      <c r="B318" t="s">
        <v>289</v>
      </c>
      <c r="C318" t="s">
        <v>477</v>
      </c>
      <c r="D318" t="s">
        <v>478</v>
      </c>
      <c r="E318" t="s">
        <v>277</v>
      </c>
      <c r="F318" t="s">
        <v>157</v>
      </c>
      <c r="G318">
        <v>3080</v>
      </c>
      <c r="H318">
        <v>121.2881</v>
      </c>
      <c r="I318">
        <v>-373567.348</v>
      </c>
      <c r="K318">
        <v>121.2881</v>
      </c>
      <c r="L318">
        <v>-373567.348</v>
      </c>
      <c r="M318" t="s">
        <v>478</v>
      </c>
      <c r="N318" t="s">
        <v>477</v>
      </c>
    </row>
    <row r="319" spans="1:14" x14ac:dyDescent="0.25">
      <c r="A319" s="18">
        <v>45867</v>
      </c>
      <c r="B319" t="s">
        <v>289</v>
      </c>
      <c r="C319" t="s">
        <v>477</v>
      </c>
      <c r="D319" t="s">
        <v>478</v>
      </c>
      <c r="E319" t="s">
        <v>277</v>
      </c>
      <c r="F319" t="s">
        <v>157</v>
      </c>
      <c r="G319">
        <v>3068</v>
      </c>
      <c r="H319">
        <v>121.25</v>
      </c>
      <c r="I319">
        <v>-371995</v>
      </c>
      <c r="K319">
        <v>121.25</v>
      </c>
      <c r="L319">
        <v>-371995</v>
      </c>
      <c r="M319" t="s">
        <v>478</v>
      </c>
      <c r="N319" t="s">
        <v>477</v>
      </c>
    </row>
    <row r="320" spans="1:14" x14ac:dyDescent="0.25">
      <c r="A320" s="18">
        <v>45867</v>
      </c>
      <c r="B320" t="s">
        <v>289</v>
      </c>
      <c r="C320" t="s">
        <v>482</v>
      </c>
      <c r="D320" t="s">
        <v>483</v>
      </c>
      <c r="E320" t="s">
        <v>269</v>
      </c>
      <c r="F320" t="s">
        <v>49</v>
      </c>
      <c r="G320">
        <v>1122</v>
      </c>
      <c r="H320">
        <v>102.3831</v>
      </c>
      <c r="I320">
        <v>-114873.8382</v>
      </c>
      <c r="K320">
        <v>102.3831</v>
      </c>
      <c r="L320">
        <v>-114873.8382</v>
      </c>
      <c r="M320" t="s">
        <v>483</v>
      </c>
      <c r="N320" t="s">
        <v>482</v>
      </c>
    </row>
    <row r="321" spans="1:14" x14ac:dyDescent="0.25">
      <c r="A321" s="18">
        <v>45867</v>
      </c>
      <c r="B321" t="s">
        <v>319</v>
      </c>
      <c r="C321" t="s">
        <v>415</v>
      </c>
      <c r="D321" t="s">
        <v>416</v>
      </c>
      <c r="E321" t="s">
        <v>417</v>
      </c>
      <c r="F321" t="s">
        <v>157</v>
      </c>
      <c r="G321">
        <v>-1510</v>
      </c>
      <c r="H321">
        <v>382.30040000000002</v>
      </c>
      <c r="I321">
        <v>577273.60400000005</v>
      </c>
      <c r="K321">
        <v>382.30040000000002</v>
      </c>
      <c r="L321">
        <v>577273.60400000005</v>
      </c>
      <c r="M321" t="s">
        <v>416</v>
      </c>
      <c r="N321" t="s">
        <v>415</v>
      </c>
    </row>
    <row r="322" spans="1:14" x14ac:dyDescent="0.25">
      <c r="A322" s="18">
        <v>45867</v>
      </c>
      <c r="B322" t="s">
        <v>289</v>
      </c>
      <c r="C322" t="s">
        <v>486</v>
      </c>
      <c r="D322" t="s">
        <v>487</v>
      </c>
      <c r="E322" t="s">
        <v>488</v>
      </c>
      <c r="F322" t="s">
        <v>49</v>
      </c>
      <c r="G322">
        <v>226</v>
      </c>
      <c r="H322">
        <v>516</v>
      </c>
      <c r="I322">
        <v>-116616</v>
      </c>
      <c r="K322">
        <v>516</v>
      </c>
      <c r="L322">
        <v>-116616</v>
      </c>
      <c r="M322" t="s">
        <v>487</v>
      </c>
      <c r="N322" t="s">
        <v>486</v>
      </c>
    </row>
    <row r="323" spans="1:14" x14ac:dyDescent="0.25">
      <c r="A323" s="18">
        <v>45867</v>
      </c>
      <c r="B323" t="s">
        <v>289</v>
      </c>
      <c r="C323" t="s">
        <v>489</v>
      </c>
      <c r="D323" t="s">
        <v>66</v>
      </c>
      <c r="E323" t="s">
        <v>67</v>
      </c>
      <c r="F323" t="s">
        <v>49</v>
      </c>
      <c r="G323">
        <v>73</v>
      </c>
      <c r="H323">
        <v>2374.48</v>
      </c>
      <c r="I323">
        <v>-173337.04</v>
      </c>
      <c r="K323">
        <v>2374.48</v>
      </c>
      <c r="L323">
        <v>-173337.04</v>
      </c>
      <c r="M323" t="s">
        <v>66</v>
      </c>
      <c r="N323" t="s">
        <v>489</v>
      </c>
    </row>
    <row r="324" spans="1:14" x14ac:dyDescent="0.25">
      <c r="A324" s="18">
        <v>45867</v>
      </c>
      <c r="B324" t="s">
        <v>289</v>
      </c>
      <c r="C324" t="s">
        <v>404</v>
      </c>
      <c r="D324" t="s">
        <v>405</v>
      </c>
      <c r="E324" t="s">
        <v>261</v>
      </c>
      <c r="F324" t="s">
        <v>21</v>
      </c>
      <c r="G324">
        <v>2460</v>
      </c>
      <c r="H324">
        <v>40.5533</v>
      </c>
      <c r="I324">
        <v>-99761.118000000002</v>
      </c>
      <c r="K324">
        <v>40.5533</v>
      </c>
      <c r="L324">
        <v>-99761.118000000002</v>
      </c>
      <c r="M324" t="s">
        <v>405</v>
      </c>
      <c r="N324" t="s">
        <v>404</v>
      </c>
    </row>
    <row r="325" spans="1:14" x14ac:dyDescent="0.25">
      <c r="A325" s="18">
        <v>45867</v>
      </c>
      <c r="B325" t="s">
        <v>289</v>
      </c>
      <c r="C325" t="s">
        <v>455</v>
      </c>
      <c r="D325" t="s">
        <v>456</v>
      </c>
      <c r="E325" t="s">
        <v>457</v>
      </c>
      <c r="F325" t="s">
        <v>21</v>
      </c>
      <c r="G325">
        <v>1</v>
      </c>
      <c r="H325">
        <v>123.34</v>
      </c>
      <c r="I325">
        <v>-123340</v>
      </c>
      <c r="K325">
        <v>123.34</v>
      </c>
      <c r="L325">
        <v>-123340</v>
      </c>
      <c r="M325" t="s">
        <v>456</v>
      </c>
      <c r="N325" t="s">
        <v>455</v>
      </c>
    </row>
    <row r="326" spans="1:14" x14ac:dyDescent="0.25">
      <c r="A326" s="18">
        <v>45867</v>
      </c>
      <c r="B326" t="s">
        <v>319</v>
      </c>
      <c r="C326" t="s">
        <v>461</v>
      </c>
      <c r="D326" t="s">
        <v>462</v>
      </c>
      <c r="E326" t="s">
        <v>463</v>
      </c>
      <c r="F326" t="s">
        <v>49</v>
      </c>
      <c r="G326">
        <v>-578</v>
      </c>
      <c r="H326">
        <v>207.70500000000001</v>
      </c>
      <c r="I326">
        <v>120053.49</v>
      </c>
      <c r="K326">
        <v>207.70500000000001</v>
      </c>
      <c r="L326">
        <v>120053.49</v>
      </c>
      <c r="M326" t="s">
        <v>462</v>
      </c>
      <c r="N326" t="s">
        <v>461</v>
      </c>
    </row>
    <row r="327" spans="1:14" x14ac:dyDescent="0.25">
      <c r="A327" s="18">
        <v>45867</v>
      </c>
      <c r="B327" t="s">
        <v>289</v>
      </c>
      <c r="C327" t="s">
        <v>485</v>
      </c>
      <c r="D327" t="s">
        <v>95</v>
      </c>
      <c r="E327" t="s">
        <v>96</v>
      </c>
      <c r="F327" t="s">
        <v>21</v>
      </c>
      <c r="G327">
        <v>4204</v>
      </c>
      <c r="H327">
        <v>23.838799999999999</v>
      </c>
      <c r="I327">
        <v>-100218.3152</v>
      </c>
      <c r="K327">
        <v>23.838799999999999</v>
      </c>
      <c r="L327">
        <v>-100218.3152</v>
      </c>
      <c r="M327" t="s">
        <v>95</v>
      </c>
      <c r="N327" t="s">
        <v>485</v>
      </c>
    </row>
    <row r="328" spans="1:14" x14ac:dyDescent="0.25">
      <c r="A328" s="18">
        <v>45867</v>
      </c>
      <c r="B328" t="s">
        <v>319</v>
      </c>
      <c r="C328" t="s">
        <v>331</v>
      </c>
      <c r="D328" t="s">
        <v>332</v>
      </c>
      <c r="E328" t="s">
        <v>333</v>
      </c>
      <c r="F328" t="s">
        <v>21</v>
      </c>
      <c r="G328">
        <v>-64</v>
      </c>
      <c r="H328">
        <v>1553.1313</v>
      </c>
      <c r="I328">
        <v>99400.403200000001</v>
      </c>
      <c r="K328">
        <v>1553.1313</v>
      </c>
      <c r="L328">
        <v>99400.403200000001</v>
      </c>
      <c r="M328" t="s">
        <v>332</v>
      </c>
      <c r="N328" t="s">
        <v>331</v>
      </c>
    </row>
    <row r="329" spans="1:14" x14ac:dyDescent="0.25">
      <c r="A329" s="18">
        <v>45867</v>
      </c>
      <c r="B329" t="s">
        <v>319</v>
      </c>
      <c r="C329" t="s">
        <v>331</v>
      </c>
      <c r="D329" t="s">
        <v>332</v>
      </c>
      <c r="E329" t="s">
        <v>333</v>
      </c>
      <c r="F329" t="s">
        <v>21</v>
      </c>
      <c r="G329">
        <v>-65</v>
      </c>
      <c r="H329">
        <v>1527</v>
      </c>
      <c r="I329">
        <v>99255</v>
      </c>
      <c r="K329">
        <v>1527</v>
      </c>
      <c r="L329">
        <v>99255</v>
      </c>
      <c r="M329" t="s">
        <v>332</v>
      </c>
      <c r="N329" t="s">
        <v>331</v>
      </c>
    </row>
    <row r="330" spans="1:14" x14ac:dyDescent="0.25">
      <c r="A330" s="18">
        <v>45868</v>
      </c>
      <c r="B330" t="s">
        <v>289</v>
      </c>
      <c r="C330" t="s">
        <v>490</v>
      </c>
      <c r="D330" t="s">
        <v>491</v>
      </c>
      <c r="E330" t="s">
        <v>492</v>
      </c>
      <c r="F330" t="s">
        <v>21</v>
      </c>
      <c r="G330">
        <v>2810</v>
      </c>
      <c r="H330">
        <v>49.55</v>
      </c>
      <c r="I330">
        <v>-139235.5</v>
      </c>
      <c r="K330">
        <v>49.55</v>
      </c>
      <c r="L330">
        <v>-139235.5</v>
      </c>
      <c r="M330" t="s">
        <v>491</v>
      </c>
      <c r="N330" t="s">
        <v>490</v>
      </c>
    </row>
    <row r="331" spans="1:14" x14ac:dyDescent="0.25">
      <c r="A331" s="18">
        <v>45868</v>
      </c>
      <c r="B331" t="s">
        <v>289</v>
      </c>
      <c r="C331" t="s">
        <v>493</v>
      </c>
      <c r="D331" t="s">
        <v>28</v>
      </c>
      <c r="E331" t="s">
        <v>29</v>
      </c>
      <c r="F331" t="s">
        <v>21</v>
      </c>
      <c r="G331">
        <v>413</v>
      </c>
      <c r="H331">
        <v>242.55</v>
      </c>
      <c r="I331">
        <v>-100173.15000000001</v>
      </c>
      <c r="K331">
        <v>242.55</v>
      </c>
      <c r="L331">
        <v>-100173.15000000001</v>
      </c>
      <c r="M331" t="s">
        <v>28</v>
      </c>
      <c r="N331" t="s">
        <v>493</v>
      </c>
    </row>
    <row r="332" spans="1:14" x14ac:dyDescent="0.25">
      <c r="A332" s="18">
        <v>45868</v>
      </c>
      <c r="B332" t="s">
        <v>319</v>
      </c>
      <c r="C332" t="s">
        <v>432</v>
      </c>
      <c r="D332" t="s">
        <v>433</v>
      </c>
      <c r="E332" t="s">
        <v>434</v>
      </c>
      <c r="F332" t="s">
        <v>82</v>
      </c>
      <c r="G332">
        <v>-998</v>
      </c>
      <c r="H332">
        <v>259.69170000000003</v>
      </c>
      <c r="I332">
        <v>259172.31660000002</v>
      </c>
      <c r="K332">
        <v>259.69170000000003</v>
      </c>
      <c r="L332">
        <v>259172.31660000002</v>
      </c>
      <c r="M332" t="s">
        <v>433</v>
      </c>
      <c r="N332" t="s">
        <v>432</v>
      </c>
    </row>
    <row r="333" spans="1:14" x14ac:dyDescent="0.25">
      <c r="A333" s="18">
        <v>45868</v>
      </c>
      <c r="B333" t="s">
        <v>319</v>
      </c>
      <c r="C333" t="s">
        <v>468</v>
      </c>
      <c r="D333" t="s">
        <v>469</v>
      </c>
      <c r="E333" t="s">
        <v>470</v>
      </c>
      <c r="F333" t="s">
        <v>49</v>
      </c>
      <c r="G333">
        <v>-541</v>
      </c>
      <c r="H333">
        <v>106.91549999999999</v>
      </c>
      <c r="I333">
        <v>57841.285499999998</v>
      </c>
      <c r="K333">
        <v>106.91549999999999</v>
      </c>
      <c r="L333">
        <v>57841.285499999998</v>
      </c>
      <c r="M333" t="s">
        <v>469</v>
      </c>
      <c r="N333" t="s">
        <v>468</v>
      </c>
    </row>
    <row r="334" spans="1:14" x14ac:dyDescent="0.25">
      <c r="A334" s="18">
        <v>45868</v>
      </c>
      <c r="B334" t="s">
        <v>289</v>
      </c>
      <c r="C334" t="s">
        <v>318</v>
      </c>
      <c r="D334" t="s">
        <v>22</v>
      </c>
      <c r="E334" t="s">
        <v>23</v>
      </c>
      <c r="F334" t="s">
        <v>21</v>
      </c>
      <c r="G334">
        <v>4533</v>
      </c>
      <c r="H334">
        <v>22.014199999999999</v>
      </c>
      <c r="I334">
        <v>-99790.368600000002</v>
      </c>
      <c r="K334">
        <v>22.014199999999999</v>
      </c>
      <c r="L334">
        <v>-99790.368600000002</v>
      </c>
      <c r="M334" t="s">
        <v>22</v>
      </c>
      <c r="N334" t="s">
        <v>318</v>
      </c>
    </row>
    <row r="335" spans="1:14" x14ac:dyDescent="0.25">
      <c r="A335" s="18">
        <v>45868</v>
      </c>
      <c r="B335" t="s">
        <v>289</v>
      </c>
      <c r="C335" t="s">
        <v>450</v>
      </c>
      <c r="D335" t="s">
        <v>116</v>
      </c>
      <c r="E335" t="s">
        <v>451</v>
      </c>
      <c r="F335" t="s">
        <v>21</v>
      </c>
      <c r="G335">
        <v>20700</v>
      </c>
      <c r="H335">
        <v>6.6120000000000001</v>
      </c>
      <c r="I335">
        <v>-136868.4</v>
      </c>
      <c r="K335">
        <v>6.6120000000000001</v>
      </c>
      <c r="L335">
        <v>-136868.4</v>
      </c>
      <c r="M335" t="s">
        <v>116</v>
      </c>
      <c r="N335" t="s">
        <v>450</v>
      </c>
    </row>
    <row r="336" spans="1:14" x14ac:dyDescent="0.25">
      <c r="A336" s="18">
        <v>45868</v>
      </c>
      <c r="B336" t="s">
        <v>289</v>
      </c>
      <c r="C336" t="s">
        <v>450</v>
      </c>
      <c r="D336" t="s">
        <v>116</v>
      </c>
      <c r="E336" t="s">
        <v>451</v>
      </c>
      <c r="F336" t="s">
        <v>21</v>
      </c>
      <c r="G336">
        <v>14885</v>
      </c>
      <c r="H336">
        <v>6.617</v>
      </c>
      <c r="I336">
        <v>-98494.044999999998</v>
      </c>
      <c r="K336">
        <v>6.617</v>
      </c>
      <c r="L336">
        <v>-98494.044999999998</v>
      </c>
      <c r="M336" t="s">
        <v>116</v>
      </c>
      <c r="N336" t="s">
        <v>450</v>
      </c>
    </row>
    <row r="337" spans="1:14" x14ac:dyDescent="0.25">
      <c r="A337" s="18">
        <v>45868</v>
      </c>
      <c r="B337" t="s">
        <v>319</v>
      </c>
      <c r="C337" t="s">
        <v>392</v>
      </c>
      <c r="D337" t="s">
        <v>393</v>
      </c>
      <c r="E337" t="s">
        <v>494</v>
      </c>
      <c r="F337" t="s">
        <v>157</v>
      </c>
      <c r="G337">
        <v>-7608</v>
      </c>
      <c r="H337">
        <v>98.071700000000007</v>
      </c>
      <c r="I337">
        <v>746129.49360000005</v>
      </c>
      <c r="K337">
        <v>98.071700000000007</v>
      </c>
      <c r="L337">
        <v>746129.49360000005</v>
      </c>
      <c r="M337" t="s">
        <v>393</v>
      </c>
      <c r="N337" t="s">
        <v>392</v>
      </c>
    </row>
    <row r="338" spans="1:14" x14ac:dyDescent="0.25">
      <c r="A338" s="18">
        <v>45869</v>
      </c>
      <c r="B338" t="s">
        <v>289</v>
      </c>
      <c r="C338" t="s">
        <v>290</v>
      </c>
      <c r="D338" t="s">
        <v>45</v>
      </c>
      <c r="E338" t="s">
        <v>46</v>
      </c>
      <c r="F338" t="s">
        <v>21</v>
      </c>
      <c r="G338">
        <v>2973</v>
      </c>
      <c r="H338">
        <v>50.45</v>
      </c>
      <c r="I338">
        <v>-149987.85</v>
      </c>
      <c r="K338">
        <v>50.45</v>
      </c>
      <c r="L338">
        <v>-149987.85</v>
      </c>
      <c r="M338" t="s">
        <v>45</v>
      </c>
      <c r="N338" t="s">
        <v>290</v>
      </c>
    </row>
    <row r="339" spans="1:14" x14ac:dyDescent="0.25">
      <c r="A339" s="18">
        <v>45869</v>
      </c>
      <c r="B339" t="s">
        <v>289</v>
      </c>
      <c r="C339" t="s">
        <v>490</v>
      </c>
      <c r="D339" t="s">
        <v>491</v>
      </c>
      <c r="E339" t="s">
        <v>492</v>
      </c>
      <c r="F339" t="s">
        <v>21</v>
      </c>
      <c r="G339">
        <v>1040</v>
      </c>
      <c r="H339">
        <v>48</v>
      </c>
      <c r="I339">
        <v>-49920</v>
      </c>
      <c r="K339">
        <v>48</v>
      </c>
      <c r="L339">
        <v>-49920</v>
      </c>
      <c r="M339" t="s">
        <v>491</v>
      </c>
      <c r="N339" t="s">
        <v>490</v>
      </c>
    </row>
    <row r="340" spans="1:14" x14ac:dyDescent="0.25">
      <c r="A340" s="18">
        <v>45869</v>
      </c>
      <c r="B340" t="s">
        <v>319</v>
      </c>
      <c r="C340" t="s">
        <v>493</v>
      </c>
      <c r="D340" t="s">
        <v>28</v>
      </c>
      <c r="E340" t="s">
        <v>29</v>
      </c>
      <c r="F340" t="s">
        <v>21</v>
      </c>
      <c r="G340">
        <v>-209</v>
      </c>
      <c r="H340">
        <v>240.1</v>
      </c>
      <c r="I340">
        <v>50180.9</v>
      </c>
      <c r="K340">
        <v>240.1</v>
      </c>
      <c r="L340">
        <v>50180.9</v>
      </c>
      <c r="M340" t="s">
        <v>28</v>
      </c>
      <c r="N340" t="s">
        <v>493</v>
      </c>
    </row>
    <row r="341" spans="1:14" x14ac:dyDescent="0.25">
      <c r="A341" s="18">
        <v>45869</v>
      </c>
      <c r="B341" t="s">
        <v>319</v>
      </c>
      <c r="C341" t="s">
        <v>425</v>
      </c>
      <c r="D341" t="s">
        <v>426</v>
      </c>
      <c r="E341" t="s">
        <v>427</v>
      </c>
      <c r="F341" t="s">
        <v>49</v>
      </c>
      <c r="G341">
        <v>-5898</v>
      </c>
      <c r="H341">
        <v>18.835000000000001</v>
      </c>
      <c r="I341">
        <v>111088.83</v>
      </c>
      <c r="K341">
        <v>18.835000000000001</v>
      </c>
      <c r="L341">
        <v>111088.83</v>
      </c>
      <c r="M341" t="s">
        <v>426</v>
      </c>
      <c r="N341" t="s">
        <v>425</v>
      </c>
    </row>
    <row r="342" spans="1:14" x14ac:dyDescent="0.25">
      <c r="A342" s="18">
        <v>45869</v>
      </c>
      <c r="B342" t="s">
        <v>319</v>
      </c>
      <c r="C342" t="s">
        <v>425</v>
      </c>
      <c r="D342" t="s">
        <v>426</v>
      </c>
      <c r="E342" t="s">
        <v>427</v>
      </c>
      <c r="F342" t="s">
        <v>49</v>
      </c>
      <c r="G342">
        <v>-2949</v>
      </c>
      <c r="H342">
        <v>18.775500000000001</v>
      </c>
      <c r="I342">
        <v>55368.949500000002</v>
      </c>
      <c r="K342">
        <v>18.775500000000001</v>
      </c>
      <c r="L342">
        <v>55368.949500000002</v>
      </c>
      <c r="M342" t="s">
        <v>426</v>
      </c>
      <c r="N342" t="s">
        <v>425</v>
      </c>
    </row>
    <row r="343" spans="1:14" x14ac:dyDescent="0.25">
      <c r="A343" s="18">
        <v>45869</v>
      </c>
      <c r="B343" t="s">
        <v>319</v>
      </c>
      <c r="C343" t="s">
        <v>425</v>
      </c>
      <c r="D343" t="s">
        <v>426</v>
      </c>
      <c r="E343" t="s">
        <v>427</v>
      </c>
      <c r="F343" t="s">
        <v>49</v>
      </c>
      <c r="G343">
        <v>-2949</v>
      </c>
      <c r="H343">
        <v>18.6599</v>
      </c>
      <c r="I343">
        <v>55028.045100000003</v>
      </c>
      <c r="K343">
        <v>18.6599</v>
      </c>
      <c r="L343">
        <v>55028.045100000003</v>
      </c>
      <c r="M343" t="s">
        <v>426</v>
      </c>
      <c r="N343" t="s">
        <v>425</v>
      </c>
    </row>
    <row r="344" spans="1:14" x14ac:dyDescent="0.25">
      <c r="A344" s="18">
        <v>45869</v>
      </c>
      <c r="B344" t="s">
        <v>289</v>
      </c>
      <c r="C344" t="s">
        <v>323</v>
      </c>
      <c r="D344" t="s">
        <v>39</v>
      </c>
      <c r="E344" t="s">
        <v>40</v>
      </c>
      <c r="F344" t="s">
        <v>36</v>
      </c>
      <c r="G344">
        <v>6026</v>
      </c>
      <c r="H344">
        <v>13.9962</v>
      </c>
      <c r="I344">
        <v>-84341.101200000005</v>
      </c>
      <c r="K344">
        <v>13.9962</v>
      </c>
      <c r="L344">
        <v>-84341.101200000005</v>
      </c>
      <c r="M344" t="s">
        <v>39</v>
      </c>
      <c r="N344" t="s">
        <v>323</v>
      </c>
    </row>
    <row r="345" spans="1:14" x14ac:dyDescent="0.25">
      <c r="A345" s="18">
        <v>45869</v>
      </c>
      <c r="B345" t="s">
        <v>289</v>
      </c>
      <c r="C345" t="s">
        <v>323</v>
      </c>
      <c r="D345" t="s">
        <v>39</v>
      </c>
      <c r="E345" t="s">
        <v>40</v>
      </c>
      <c r="F345" t="s">
        <v>36</v>
      </c>
      <c r="G345">
        <v>3064</v>
      </c>
      <c r="H345">
        <v>14.06</v>
      </c>
      <c r="I345">
        <v>-43079.840000000004</v>
      </c>
      <c r="K345">
        <v>14.06</v>
      </c>
      <c r="L345">
        <v>-43079.840000000004</v>
      </c>
      <c r="M345" t="s">
        <v>39</v>
      </c>
      <c r="N345" t="s">
        <v>323</v>
      </c>
    </row>
    <row r="346" spans="1:14" x14ac:dyDescent="0.25">
      <c r="A346" s="18">
        <v>45869</v>
      </c>
      <c r="B346" t="s">
        <v>289</v>
      </c>
      <c r="C346" t="s">
        <v>325</v>
      </c>
      <c r="D346" t="s">
        <v>47</v>
      </c>
      <c r="E346" t="s">
        <v>48</v>
      </c>
      <c r="F346" t="s">
        <v>36</v>
      </c>
      <c r="G346">
        <v>707</v>
      </c>
      <c r="H346">
        <v>72.905600000000007</v>
      </c>
      <c r="I346">
        <v>-51544.259200000008</v>
      </c>
      <c r="K346">
        <v>72.905600000000007</v>
      </c>
      <c r="L346">
        <v>-51544.259200000008</v>
      </c>
      <c r="M346" t="s">
        <v>47</v>
      </c>
      <c r="N346" t="s">
        <v>325</v>
      </c>
    </row>
    <row r="347" spans="1:14" x14ac:dyDescent="0.25">
      <c r="A347" s="18">
        <v>45869</v>
      </c>
      <c r="B347" t="s">
        <v>319</v>
      </c>
      <c r="C347" t="s">
        <v>446</v>
      </c>
      <c r="D347" t="s">
        <v>447</v>
      </c>
      <c r="E347" t="s">
        <v>495</v>
      </c>
      <c r="F347" t="s">
        <v>21</v>
      </c>
      <c r="G347">
        <v>-3</v>
      </c>
      <c r="H347">
        <v>7808.5</v>
      </c>
      <c r="I347">
        <v>234255</v>
      </c>
      <c r="K347">
        <v>7808.5</v>
      </c>
      <c r="L347">
        <v>234255</v>
      </c>
      <c r="M347" t="s">
        <v>447</v>
      </c>
      <c r="N347" t="s">
        <v>446</v>
      </c>
    </row>
    <row r="348" spans="1:14" x14ac:dyDescent="0.25">
      <c r="A348" s="18">
        <v>45869</v>
      </c>
      <c r="B348" t="s">
        <v>319</v>
      </c>
      <c r="C348" t="s">
        <v>375</v>
      </c>
      <c r="D348" t="s">
        <v>376</v>
      </c>
      <c r="E348" t="s">
        <v>377</v>
      </c>
      <c r="F348" t="s">
        <v>21</v>
      </c>
      <c r="G348">
        <v>-5753</v>
      </c>
      <c r="H348">
        <v>20.816800000000001</v>
      </c>
      <c r="I348">
        <v>119759.05040000001</v>
      </c>
      <c r="K348">
        <v>20.816800000000001</v>
      </c>
      <c r="L348">
        <v>119759.05040000001</v>
      </c>
      <c r="M348" t="s">
        <v>376</v>
      </c>
      <c r="N348" t="s">
        <v>375</v>
      </c>
    </row>
    <row r="349" spans="1:14" x14ac:dyDescent="0.25">
      <c r="A349" s="18">
        <v>45869</v>
      </c>
      <c r="B349" t="s">
        <v>289</v>
      </c>
      <c r="C349" t="s">
        <v>485</v>
      </c>
      <c r="D349" t="s">
        <v>95</v>
      </c>
      <c r="E349" t="s">
        <v>96</v>
      </c>
      <c r="F349" t="s">
        <v>21</v>
      </c>
      <c r="G349">
        <v>2510</v>
      </c>
      <c r="H349">
        <v>23.825299999999999</v>
      </c>
      <c r="I349">
        <v>-59801.502999999997</v>
      </c>
      <c r="K349">
        <v>23.825299999999999</v>
      </c>
      <c r="L349">
        <v>-59801.502999999997</v>
      </c>
      <c r="M349" t="s">
        <v>95</v>
      </c>
      <c r="N349" t="s">
        <v>485</v>
      </c>
    </row>
    <row r="350" spans="1:14" x14ac:dyDescent="0.25">
      <c r="A350" s="18">
        <v>45869</v>
      </c>
      <c r="B350" t="s">
        <v>289</v>
      </c>
      <c r="C350" t="s">
        <v>485</v>
      </c>
      <c r="D350" t="s">
        <v>95</v>
      </c>
      <c r="E350" t="s">
        <v>96</v>
      </c>
      <c r="F350" t="s">
        <v>21</v>
      </c>
      <c r="G350">
        <v>4185</v>
      </c>
      <c r="H350">
        <v>23.637699999999999</v>
      </c>
      <c r="I350">
        <v>-98923.7745</v>
      </c>
      <c r="K350">
        <v>23.637699999999999</v>
      </c>
      <c r="L350">
        <v>-98923.7745</v>
      </c>
      <c r="M350" t="s">
        <v>95</v>
      </c>
      <c r="N350" t="s">
        <v>485</v>
      </c>
    </row>
    <row r="351" spans="1:14" x14ac:dyDescent="0.25">
      <c r="A351" s="18">
        <v>45870</v>
      </c>
      <c r="B351" t="s">
        <v>289</v>
      </c>
      <c r="C351" t="s">
        <v>311</v>
      </c>
      <c r="D351" t="s">
        <v>312</v>
      </c>
      <c r="E351" t="s">
        <v>313</v>
      </c>
      <c r="F351" t="s">
        <v>21</v>
      </c>
      <c r="G351">
        <v>356</v>
      </c>
      <c r="H351">
        <v>281.3</v>
      </c>
      <c r="I351">
        <v>-100142.8</v>
      </c>
      <c r="K351">
        <v>281.3</v>
      </c>
      <c r="L351">
        <v>-100142.8</v>
      </c>
      <c r="M351" t="s">
        <v>312</v>
      </c>
      <c r="N351" t="s">
        <v>311</v>
      </c>
    </row>
    <row r="352" spans="1:14" x14ac:dyDescent="0.25">
      <c r="A352" s="18">
        <v>45870</v>
      </c>
      <c r="B352" t="s">
        <v>319</v>
      </c>
      <c r="C352" t="s">
        <v>468</v>
      </c>
      <c r="D352" t="s">
        <v>469</v>
      </c>
      <c r="E352" t="s">
        <v>470</v>
      </c>
      <c r="F352" t="s">
        <v>49</v>
      </c>
      <c r="G352">
        <v>-603</v>
      </c>
      <c r="H352">
        <v>94.809700000000007</v>
      </c>
      <c r="I352">
        <v>57170.249100000001</v>
      </c>
      <c r="K352">
        <v>94.809700000000007</v>
      </c>
      <c r="L352">
        <v>57170.249100000001</v>
      </c>
      <c r="M352" t="s">
        <v>469</v>
      </c>
      <c r="N352" t="s">
        <v>468</v>
      </c>
    </row>
    <row r="353" spans="1:14" x14ac:dyDescent="0.25">
      <c r="A353" s="18">
        <v>45870</v>
      </c>
      <c r="B353" t="s">
        <v>319</v>
      </c>
      <c r="C353" t="s">
        <v>496</v>
      </c>
      <c r="D353" t="s">
        <v>497</v>
      </c>
      <c r="E353" t="s">
        <v>498</v>
      </c>
      <c r="F353" t="s">
        <v>49</v>
      </c>
      <c r="G353">
        <v>-3</v>
      </c>
      <c r="H353">
        <v>2165.9666999999999</v>
      </c>
      <c r="I353">
        <v>324895.005</v>
      </c>
      <c r="K353">
        <v>2165.9666999999999</v>
      </c>
      <c r="L353">
        <v>324895.005</v>
      </c>
      <c r="M353" t="s">
        <v>497</v>
      </c>
      <c r="N353" t="s">
        <v>496</v>
      </c>
    </row>
    <row r="354" spans="1:14" x14ac:dyDescent="0.25">
      <c r="A354" s="18">
        <v>45870</v>
      </c>
      <c r="B354" t="s">
        <v>289</v>
      </c>
      <c r="C354" t="s">
        <v>342</v>
      </c>
      <c r="D354" t="s">
        <v>343</v>
      </c>
      <c r="E354" t="s">
        <v>282</v>
      </c>
      <c r="F354" t="s">
        <v>21</v>
      </c>
      <c r="G354">
        <v>1042</v>
      </c>
      <c r="H354">
        <v>96.241200000000006</v>
      </c>
      <c r="I354">
        <v>-100283.33040000001</v>
      </c>
      <c r="K354">
        <v>96.241200000000006</v>
      </c>
      <c r="L354">
        <v>-100283.33040000001</v>
      </c>
      <c r="M354" t="s">
        <v>343</v>
      </c>
      <c r="N354" t="s">
        <v>342</v>
      </c>
    </row>
    <row r="355" spans="1:14" x14ac:dyDescent="0.25">
      <c r="A355" s="18">
        <v>45870</v>
      </c>
      <c r="B355" t="s">
        <v>289</v>
      </c>
      <c r="C355" t="s">
        <v>342</v>
      </c>
      <c r="D355" t="s">
        <v>343</v>
      </c>
      <c r="E355" t="s">
        <v>282</v>
      </c>
      <c r="F355" t="s">
        <v>21</v>
      </c>
      <c r="G355">
        <v>541</v>
      </c>
      <c r="H355">
        <v>92.68</v>
      </c>
      <c r="I355">
        <v>-50139.880000000005</v>
      </c>
      <c r="K355">
        <v>92.68</v>
      </c>
      <c r="L355">
        <v>-50139.880000000005</v>
      </c>
      <c r="M355" t="s">
        <v>343</v>
      </c>
      <c r="N355" t="s">
        <v>342</v>
      </c>
    </row>
    <row r="356" spans="1:14" x14ac:dyDescent="0.25">
      <c r="A356" s="18">
        <v>45870</v>
      </c>
      <c r="B356" t="s">
        <v>289</v>
      </c>
      <c r="C356" t="s">
        <v>342</v>
      </c>
      <c r="D356" t="s">
        <v>343</v>
      </c>
      <c r="E356" t="s">
        <v>282</v>
      </c>
      <c r="F356" t="s">
        <v>21</v>
      </c>
      <c r="G356">
        <v>1635</v>
      </c>
      <c r="H356">
        <v>91.563900000000004</v>
      </c>
      <c r="I356">
        <v>-149706.97650000002</v>
      </c>
      <c r="K356">
        <v>91.563900000000018</v>
      </c>
      <c r="L356">
        <v>-149706.97650000002</v>
      </c>
      <c r="M356" t="s">
        <v>343</v>
      </c>
      <c r="N356" t="s">
        <v>342</v>
      </c>
    </row>
    <row r="357" spans="1:14" x14ac:dyDescent="0.25">
      <c r="A357" s="18">
        <v>45870</v>
      </c>
      <c r="B357" t="s">
        <v>319</v>
      </c>
      <c r="C357" t="s">
        <v>392</v>
      </c>
      <c r="D357" t="s">
        <v>393</v>
      </c>
      <c r="E357" t="s">
        <v>494</v>
      </c>
      <c r="F357" t="s">
        <v>157</v>
      </c>
      <c r="G357">
        <v>-7690</v>
      </c>
      <c r="H357">
        <v>90.701599999999999</v>
      </c>
      <c r="I357">
        <v>697495.304</v>
      </c>
      <c r="K357">
        <v>90.701599999999999</v>
      </c>
      <c r="L357">
        <v>697495.304</v>
      </c>
      <c r="M357" t="s">
        <v>393</v>
      </c>
      <c r="N357" t="s">
        <v>392</v>
      </c>
    </row>
    <row r="358" spans="1:14" x14ac:dyDescent="0.25">
      <c r="A358" s="18">
        <v>45874</v>
      </c>
      <c r="B358" t="s">
        <v>289</v>
      </c>
      <c r="C358" t="s">
        <v>489</v>
      </c>
      <c r="D358" t="s">
        <v>66</v>
      </c>
      <c r="E358" t="s">
        <v>67</v>
      </c>
      <c r="F358" t="s">
        <v>49</v>
      </c>
      <c r="G358">
        <v>48</v>
      </c>
      <c r="H358">
        <v>2396.0700000000002</v>
      </c>
      <c r="I358">
        <v>-115011.36000000002</v>
      </c>
      <c r="K358">
        <v>2396.0700000000002</v>
      </c>
      <c r="L358">
        <v>-115011.36000000002</v>
      </c>
      <c r="M358" t="s">
        <v>66</v>
      </c>
      <c r="N358" t="s">
        <v>489</v>
      </c>
    </row>
    <row r="359" spans="1:14" x14ac:dyDescent="0.25">
      <c r="A359" s="18">
        <v>45874</v>
      </c>
      <c r="B359" t="s">
        <v>289</v>
      </c>
      <c r="C359" t="s">
        <v>499</v>
      </c>
      <c r="D359" t="s">
        <v>500</v>
      </c>
      <c r="E359" t="s">
        <v>501</v>
      </c>
      <c r="F359" t="s">
        <v>49</v>
      </c>
      <c r="G359">
        <v>3945</v>
      </c>
      <c r="H359">
        <v>88.215000000000003</v>
      </c>
      <c r="I359">
        <v>-348008.17499999999</v>
      </c>
      <c r="K359">
        <v>88.215000000000003</v>
      </c>
      <c r="L359">
        <v>-348008.17499999999</v>
      </c>
      <c r="M359" t="s">
        <v>500</v>
      </c>
      <c r="N359" t="s">
        <v>499</v>
      </c>
    </row>
    <row r="360" spans="1:14" x14ac:dyDescent="0.25">
      <c r="A360" s="18">
        <v>45874</v>
      </c>
      <c r="B360" t="s">
        <v>289</v>
      </c>
      <c r="C360" t="s">
        <v>496</v>
      </c>
      <c r="D360" t="s">
        <v>497</v>
      </c>
      <c r="E360" t="s">
        <v>498</v>
      </c>
      <c r="F360" t="s">
        <v>49</v>
      </c>
      <c r="G360">
        <v>2</v>
      </c>
      <c r="H360">
        <v>2217.6</v>
      </c>
      <c r="I360">
        <v>-221760</v>
      </c>
      <c r="K360">
        <v>2217.6</v>
      </c>
      <c r="L360">
        <v>-221760</v>
      </c>
      <c r="M360" t="s">
        <v>497</v>
      </c>
      <c r="N360" t="s">
        <v>496</v>
      </c>
    </row>
    <row r="361" spans="1:14" x14ac:dyDescent="0.25">
      <c r="A361" s="18">
        <v>45874</v>
      </c>
      <c r="B361" t="s">
        <v>319</v>
      </c>
      <c r="C361" t="s">
        <v>496</v>
      </c>
      <c r="D361" t="s">
        <v>497</v>
      </c>
      <c r="E361" t="s">
        <v>498</v>
      </c>
      <c r="F361" t="s">
        <v>49</v>
      </c>
      <c r="G361">
        <v>-3</v>
      </c>
      <c r="H361">
        <v>2212.4</v>
      </c>
      <c r="I361">
        <v>331860.00000000006</v>
      </c>
      <c r="K361">
        <v>2212.4</v>
      </c>
      <c r="L361">
        <v>331860.00000000006</v>
      </c>
      <c r="M361" t="s">
        <v>497</v>
      </c>
      <c r="N361" t="s">
        <v>496</v>
      </c>
    </row>
    <row r="362" spans="1:14" x14ac:dyDescent="0.25">
      <c r="A362" s="18">
        <v>45874</v>
      </c>
      <c r="B362" t="s">
        <v>319</v>
      </c>
      <c r="C362" t="s">
        <v>325</v>
      </c>
      <c r="D362" t="s">
        <v>47</v>
      </c>
      <c r="E362" t="s">
        <v>48</v>
      </c>
      <c r="F362" t="s">
        <v>36</v>
      </c>
      <c r="G362">
        <v>-1193</v>
      </c>
      <c r="H362">
        <v>72.822199999999995</v>
      </c>
      <c r="I362">
        <v>86876.88459999999</v>
      </c>
      <c r="K362">
        <v>72.822199999999995</v>
      </c>
      <c r="L362">
        <v>86876.88459999999</v>
      </c>
      <c r="M362" t="s">
        <v>47</v>
      </c>
      <c r="N362" t="s">
        <v>325</v>
      </c>
    </row>
    <row r="363" spans="1:14" x14ac:dyDescent="0.25">
      <c r="A363" s="18">
        <v>45875</v>
      </c>
      <c r="B363" t="s">
        <v>289</v>
      </c>
      <c r="C363" t="s">
        <v>361</v>
      </c>
      <c r="D363" t="s">
        <v>93</v>
      </c>
      <c r="E363" t="s">
        <v>94</v>
      </c>
      <c r="F363" t="s">
        <v>21</v>
      </c>
      <c r="G363">
        <v>1005</v>
      </c>
      <c r="H363">
        <v>94.891300000000001</v>
      </c>
      <c r="I363">
        <v>-95365.756500000003</v>
      </c>
      <c r="K363">
        <v>94.891300000000001</v>
      </c>
      <c r="L363">
        <v>-95365.756500000003</v>
      </c>
      <c r="M363" t="s">
        <v>93</v>
      </c>
      <c r="N363" t="s">
        <v>361</v>
      </c>
    </row>
    <row r="364" spans="1:14" x14ac:dyDescent="0.25">
      <c r="A364" s="18">
        <v>45875</v>
      </c>
      <c r="B364" t="s">
        <v>289</v>
      </c>
      <c r="C364" t="s">
        <v>493</v>
      </c>
      <c r="D364" t="s">
        <v>28</v>
      </c>
      <c r="E364" t="s">
        <v>29</v>
      </c>
      <c r="F364" t="s">
        <v>21</v>
      </c>
      <c r="G364">
        <v>523</v>
      </c>
      <c r="H364">
        <v>213.8261</v>
      </c>
      <c r="I364">
        <v>-111831.0503</v>
      </c>
      <c r="K364">
        <v>213.8261</v>
      </c>
      <c r="L364">
        <v>-111831.0503</v>
      </c>
      <c r="M364" t="s">
        <v>28</v>
      </c>
      <c r="N364" t="s">
        <v>493</v>
      </c>
    </row>
    <row r="365" spans="1:14" x14ac:dyDescent="0.25">
      <c r="A365" s="18">
        <v>45875</v>
      </c>
      <c r="B365" t="s">
        <v>289</v>
      </c>
      <c r="C365" t="s">
        <v>489</v>
      </c>
      <c r="D365" t="s">
        <v>66</v>
      </c>
      <c r="E365" t="s">
        <v>67</v>
      </c>
      <c r="F365" t="s">
        <v>49</v>
      </c>
      <c r="G365">
        <v>25</v>
      </c>
      <c r="H365">
        <v>2299.48</v>
      </c>
      <c r="I365">
        <v>-57487</v>
      </c>
      <c r="K365">
        <v>2299.48</v>
      </c>
      <c r="L365">
        <v>-57487</v>
      </c>
      <c r="M365" t="s">
        <v>66</v>
      </c>
      <c r="N365" t="s">
        <v>489</v>
      </c>
    </row>
    <row r="366" spans="1:14" x14ac:dyDescent="0.25">
      <c r="A366" s="18">
        <v>45875</v>
      </c>
      <c r="B366" t="s">
        <v>289</v>
      </c>
      <c r="C366" t="s">
        <v>450</v>
      </c>
      <c r="D366" t="s">
        <v>116</v>
      </c>
      <c r="E366" t="s">
        <v>451</v>
      </c>
      <c r="F366" t="s">
        <v>21</v>
      </c>
      <c r="G366">
        <v>11365</v>
      </c>
      <c r="H366">
        <v>6.5549999999999997</v>
      </c>
      <c r="I366">
        <v>-74497.574999999997</v>
      </c>
      <c r="K366">
        <v>6.5549999999999997</v>
      </c>
      <c r="L366">
        <v>-74497.574999999997</v>
      </c>
      <c r="M366" t="s">
        <v>116</v>
      </c>
      <c r="N366" t="s">
        <v>450</v>
      </c>
    </row>
    <row r="367" spans="1:14" x14ac:dyDescent="0.25">
      <c r="A367" s="18">
        <v>45875</v>
      </c>
      <c r="B367" t="s">
        <v>319</v>
      </c>
      <c r="C367" t="s">
        <v>380</v>
      </c>
      <c r="D367" t="s">
        <v>381</v>
      </c>
      <c r="E367" t="s">
        <v>382</v>
      </c>
      <c r="F367" t="s">
        <v>21</v>
      </c>
      <c r="G367">
        <v>-53</v>
      </c>
      <c r="H367">
        <v>2112.8018999999999</v>
      </c>
      <c r="I367">
        <v>111978.50069999999</v>
      </c>
      <c r="K367">
        <v>2112.8018999999999</v>
      </c>
      <c r="L367">
        <v>111978.50069999999</v>
      </c>
      <c r="M367" t="s">
        <v>381</v>
      </c>
      <c r="N367" t="s">
        <v>380</v>
      </c>
    </row>
    <row r="368" spans="1:14" x14ac:dyDescent="0.25">
      <c r="A368" s="18">
        <v>45875</v>
      </c>
      <c r="B368" t="s">
        <v>319</v>
      </c>
      <c r="C368" t="s">
        <v>323</v>
      </c>
      <c r="D368" t="s">
        <v>39</v>
      </c>
      <c r="E368" t="s">
        <v>40</v>
      </c>
      <c r="F368" t="s">
        <v>36</v>
      </c>
      <c r="G368">
        <v>-5314</v>
      </c>
      <c r="H368">
        <v>16.402999999999999</v>
      </c>
      <c r="I368">
        <v>87165.541999999987</v>
      </c>
      <c r="K368">
        <v>16.402999999999999</v>
      </c>
      <c r="L368">
        <v>87165.541999999987</v>
      </c>
      <c r="M368" t="s">
        <v>39</v>
      </c>
      <c r="N368" t="s">
        <v>323</v>
      </c>
    </row>
    <row r="369" spans="1:14" x14ac:dyDescent="0.25">
      <c r="A369" s="18">
        <v>45875</v>
      </c>
      <c r="B369" t="s">
        <v>289</v>
      </c>
      <c r="C369" t="s">
        <v>455</v>
      </c>
      <c r="D369" t="s">
        <v>456</v>
      </c>
      <c r="E369" t="s">
        <v>457</v>
      </c>
      <c r="F369" t="s">
        <v>21</v>
      </c>
      <c r="G369">
        <v>1</v>
      </c>
      <c r="H369">
        <v>124.04</v>
      </c>
      <c r="I369">
        <v>-124040</v>
      </c>
      <c r="K369">
        <v>124.04</v>
      </c>
      <c r="L369">
        <v>-124040</v>
      </c>
      <c r="M369" t="s">
        <v>456</v>
      </c>
      <c r="N369" t="s">
        <v>455</v>
      </c>
    </row>
    <row r="370" spans="1:14" x14ac:dyDescent="0.25">
      <c r="A370" s="18">
        <v>45875</v>
      </c>
      <c r="B370" t="s">
        <v>319</v>
      </c>
      <c r="C370" t="s">
        <v>325</v>
      </c>
      <c r="D370" t="s">
        <v>47</v>
      </c>
      <c r="E370" t="s">
        <v>48</v>
      </c>
      <c r="F370" t="s">
        <v>36</v>
      </c>
      <c r="G370">
        <v>-886</v>
      </c>
      <c r="H370">
        <v>73.456500000000005</v>
      </c>
      <c r="I370">
        <v>65082.459000000003</v>
      </c>
      <c r="K370">
        <v>73.456500000000005</v>
      </c>
      <c r="L370">
        <v>65082.459000000003</v>
      </c>
      <c r="M370" t="s">
        <v>47</v>
      </c>
      <c r="N370" t="s">
        <v>325</v>
      </c>
    </row>
    <row r="371" spans="1:14" x14ac:dyDescent="0.25">
      <c r="A371" s="18">
        <v>45876</v>
      </c>
      <c r="B371" t="s">
        <v>289</v>
      </c>
      <c r="C371" t="s">
        <v>361</v>
      </c>
      <c r="D371" t="s">
        <v>93</v>
      </c>
      <c r="E371" t="s">
        <v>94</v>
      </c>
      <c r="F371" t="s">
        <v>21</v>
      </c>
      <c r="G371">
        <v>782</v>
      </c>
      <c r="H371">
        <v>96.34</v>
      </c>
      <c r="I371">
        <v>-75337.88</v>
      </c>
      <c r="K371">
        <v>96.34</v>
      </c>
      <c r="L371">
        <v>-75337.88</v>
      </c>
      <c r="M371" t="s">
        <v>93</v>
      </c>
      <c r="N371" t="s">
        <v>361</v>
      </c>
    </row>
    <row r="372" spans="1:14" x14ac:dyDescent="0.25">
      <c r="A372" s="18">
        <v>45876</v>
      </c>
      <c r="B372" t="s">
        <v>289</v>
      </c>
      <c r="C372" t="s">
        <v>328</v>
      </c>
      <c r="D372" t="s">
        <v>329</v>
      </c>
      <c r="E372" t="s">
        <v>330</v>
      </c>
      <c r="F372" t="s">
        <v>21</v>
      </c>
      <c r="G372">
        <v>29</v>
      </c>
      <c r="H372">
        <v>1717.5</v>
      </c>
      <c r="I372">
        <v>-49807.5</v>
      </c>
      <c r="K372">
        <v>1717.5</v>
      </c>
      <c r="L372">
        <v>-49807.5</v>
      </c>
      <c r="M372" t="s">
        <v>329</v>
      </c>
      <c r="N372" t="s">
        <v>328</v>
      </c>
    </row>
    <row r="373" spans="1:14" x14ac:dyDescent="0.25">
      <c r="A373" s="18">
        <v>45876</v>
      </c>
      <c r="B373" t="s">
        <v>289</v>
      </c>
      <c r="C373" t="s">
        <v>328</v>
      </c>
      <c r="D373" t="s">
        <v>329</v>
      </c>
      <c r="E373" t="s">
        <v>330</v>
      </c>
      <c r="F373" t="s">
        <v>21</v>
      </c>
      <c r="G373">
        <v>30</v>
      </c>
      <c r="H373">
        <v>1688.8</v>
      </c>
      <c r="I373">
        <v>-50664</v>
      </c>
      <c r="K373">
        <v>1688.8</v>
      </c>
      <c r="L373">
        <v>-50664</v>
      </c>
      <c r="M373" t="s">
        <v>329</v>
      </c>
      <c r="N373" t="s">
        <v>328</v>
      </c>
    </row>
    <row r="374" spans="1:14" x14ac:dyDescent="0.25">
      <c r="A374" s="18">
        <v>45876</v>
      </c>
      <c r="B374" t="s">
        <v>289</v>
      </c>
      <c r="C374" t="s">
        <v>328</v>
      </c>
      <c r="D374" t="s">
        <v>329</v>
      </c>
      <c r="E374" t="s">
        <v>330</v>
      </c>
      <c r="F374" t="s">
        <v>21</v>
      </c>
      <c r="G374">
        <v>30</v>
      </c>
      <c r="H374">
        <v>1678</v>
      </c>
      <c r="I374">
        <v>-50340</v>
      </c>
      <c r="K374">
        <v>1678</v>
      </c>
      <c r="L374">
        <v>-50340</v>
      </c>
      <c r="M374" t="s">
        <v>329</v>
      </c>
      <c r="N374" t="s">
        <v>328</v>
      </c>
    </row>
    <row r="375" spans="1:14" x14ac:dyDescent="0.25">
      <c r="A375" s="18">
        <v>45876</v>
      </c>
      <c r="B375" t="s">
        <v>289</v>
      </c>
      <c r="C375" t="s">
        <v>502</v>
      </c>
      <c r="D375" t="s">
        <v>503</v>
      </c>
      <c r="E375" t="s">
        <v>504</v>
      </c>
      <c r="F375" t="s">
        <v>49</v>
      </c>
      <c r="G375">
        <v>106500</v>
      </c>
      <c r="H375">
        <v>3.2545000000000002</v>
      </c>
      <c r="I375">
        <v>-346604.25</v>
      </c>
      <c r="K375">
        <v>3.2545000000000002</v>
      </c>
      <c r="L375">
        <v>-346604.25</v>
      </c>
      <c r="M375" t="s">
        <v>503</v>
      </c>
      <c r="N375" t="s">
        <v>502</v>
      </c>
    </row>
    <row r="376" spans="1:14" x14ac:dyDescent="0.25">
      <c r="A376" s="18">
        <v>45876</v>
      </c>
      <c r="B376" t="s">
        <v>319</v>
      </c>
      <c r="C376" t="s">
        <v>499</v>
      </c>
      <c r="D376" t="s">
        <v>500</v>
      </c>
      <c r="E376" t="s">
        <v>501</v>
      </c>
      <c r="F376" t="s">
        <v>49</v>
      </c>
      <c r="G376">
        <v>-3945</v>
      </c>
      <c r="H376">
        <v>87.96</v>
      </c>
      <c r="I376">
        <v>347002.19999999995</v>
      </c>
      <c r="K376">
        <v>87.96</v>
      </c>
      <c r="L376">
        <v>347002.19999999995</v>
      </c>
      <c r="M376" t="s">
        <v>500</v>
      </c>
      <c r="N376" t="s">
        <v>499</v>
      </c>
    </row>
    <row r="377" spans="1:14" x14ac:dyDescent="0.25">
      <c r="A377" s="18">
        <v>45877</v>
      </c>
      <c r="B377" t="s">
        <v>319</v>
      </c>
      <c r="C377" t="s">
        <v>290</v>
      </c>
      <c r="D377" t="s">
        <v>45</v>
      </c>
      <c r="E377" t="s">
        <v>46</v>
      </c>
      <c r="F377" t="s">
        <v>21</v>
      </c>
      <c r="G377">
        <v>-941</v>
      </c>
      <c r="H377">
        <v>53.102499999999999</v>
      </c>
      <c r="I377">
        <v>49969.452499999999</v>
      </c>
      <c r="K377">
        <v>53.102499999999999</v>
      </c>
      <c r="L377">
        <v>49969.452499999999</v>
      </c>
      <c r="M377" t="s">
        <v>45</v>
      </c>
      <c r="N377" t="s">
        <v>290</v>
      </c>
    </row>
    <row r="378" spans="1:14" x14ac:dyDescent="0.25">
      <c r="A378" s="18">
        <v>45877</v>
      </c>
      <c r="B378" t="s">
        <v>319</v>
      </c>
      <c r="C378" t="s">
        <v>490</v>
      </c>
      <c r="D378" t="s">
        <v>491</v>
      </c>
      <c r="E378" t="s">
        <v>492</v>
      </c>
      <c r="F378" t="s">
        <v>21</v>
      </c>
      <c r="G378">
        <v>-2162</v>
      </c>
      <c r="H378">
        <v>46.320999999999998</v>
      </c>
      <c r="I378">
        <v>100146.00199999999</v>
      </c>
      <c r="K378">
        <v>46.320999999999998</v>
      </c>
      <c r="L378">
        <v>100146.00199999999</v>
      </c>
      <c r="M378" t="s">
        <v>491</v>
      </c>
      <c r="N378" t="s">
        <v>490</v>
      </c>
    </row>
    <row r="379" spans="1:14" x14ac:dyDescent="0.25">
      <c r="A379" s="18">
        <v>45877</v>
      </c>
      <c r="B379" t="s">
        <v>319</v>
      </c>
      <c r="C379" t="s">
        <v>314</v>
      </c>
      <c r="D379" t="s">
        <v>315</v>
      </c>
      <c r="E379" t="s">
        <v>362</v>
      </c>
      <c r="F379" t="s">
        <v>21</v>
      </c>
      <c r="G379">
        <v>-1934</v>
      </c>
      <c r="H379">
        <v>25.972100000000001</v>
      </c>
      <c r="I379">
        <v>50230.041400000002</v>
      </c>
      <c r="K379">
        <v>25.972100000000001</v>
      </c>
      <c r="L379">
        <v>50230.041400000002</v>
      </c>
      <c r="M379" t="s">
        <v>315</v>
      </c>
      <c r="N379" t="s">
        <v>314</v>
      </c>
    </row>
    <row r="380" spans="1:14" x14ac:dyDescent="0.25">
      <c r="A380" s="18">
        <v>45877</v>
      </c>
      <c r="B380" t="s">
        <v>319</v>
      </c>
      <c r="C380" t="s">
        <v>328</v>
      </c>
      <c r="D380" t="s">
        <v>329</v>
      </c>
      <c r="E380" t="s">
        <v>330</v>
      </c>
      <c r="F380" t="s">
        <v>21</v>
      </c>
      <c r="G380">
        <v>-60</v>
      </c>
      <c r="H380">
        <v>1677.5166999999999</v>
      </c>
      <c r="I380">
        <v>100651.00199999999</v>
      </c>
      <c r="K380">
        <v>1677.5166999999999</v>
      </c>
      <c r="L380">
        <v>100651.00199999999</v>
      </c>
      <c r="M380" t="s">
        <v>329</v>
      </c>
      <c r="N380" t="s">
        <v>328</v>
      </c>
    </row>
    <row r="381" spans="1:14" x14ac:dyDescent="0.25">
      <c r="A381" s="18">
        <v>45877</v>
      </c>
      <c r="B381" t="s">
        <v>319</v>
      </c>
      <c r="C381" t="s">
        <v>486</v>
      </c>
      <c r="D381" t="s">
        <v>487</v>
      </c>
      <c r="E381" t="s">
        <v>488</v>
      </c>
      <c r="F381" t="s">
        <v>49</v>
      </c>
      <c r="G381">
        <v>-226</v>
      </c>
      <c r="H381">
        <v>522.44000000000005</v>
      </c>
      <c r="I381">
        <v>118071.44000000002</v>
      </c>
      <c r="K381">
        <v>522.44000000000005</v>
      </c>
      <c r="L381">
        <v>118071.44000000002</v>
      </c>
      <c r="M381" t="s">
        <v>487</v>
      </c>
      <c r="N381" t="s">
        <v>486</v>
      </c>
    </row>
    <row r="382" spans="1:14" x14ac:dyDescent="0.25">
      <c r="A382" s="18">
        <v>45877</v>
      </c>
      <c r="B382" t="s">
        <v>319</v>
      </c>
      <c r="C382" t="s">
        <v>358</v>
      </c>
      <c r="D382" t="s">
        <v>359</v>
      </c>
      <c r="E382" t="s">
        <v>360</v>
      </c>
      <c r="F382" t="s">
        <v>21</v>
      </c>
      <c r="G382">
        <v>-3653</v>
      </c>
      <c r="H382">
        <v>20.5</v>
      </c>
      <c r="I382">
        <v>74886.5</v>
      </c>
      <c r="K382">
        <v>20.5</v>
      </c>
      <c r="L382">
        <v>74886.5</v>
      </c>
      <c r="M382" t="s">
        <v>359</v>
      </c>
      <c r="N382" t="s">
        <v>358</v>
      </c>
    </row>
    <row r="383" spans="1:14" x14ac:dyDescent="0.25">
      <c r="A383" s="18">
        <v>45877</v>
      </c>
      <c r="B383" t="s">
        <v>319</v>
      </c>
      <c r="C383" t="s">
        <v>294</v>
      </c>
      <c r="D383" t="s">
        <v>80</v>
      </c>
      <c r="E383" t="s">
        <v>505</v>
      </c>
      <c r="F383" t="s">
        <v>82</v>
      </c>
      <c r="G383">
        <v>-1390</v>
      </c>
      <c r="H383">
        <v>67.570999999999998</v>
      </c>
      <c r="I383">
        <v>93923.69</v>
      </c>
      <c r="K383">
        <v>67.570999999999998</v>
      </c>
      <c r="L383">
        <v>93923.69</v>
      </c>
      <c r="M383" t="s">
        <v>80</v>
      </c>
      <c r="N383" t="s">
        <v>294</v>
      </c>
    </row>
    <row r="384" spans="1:14" x14ac:dyDescent="0.25">
      <c r="A384" s="18">
        <v>45877</v>
      </c>
      <c r="B384" t="s">
        <v>289</v>
      </c>
      <c r="C384" t="s">
        <v>428</v>
      </c>
      <c r="D384" t="s">
        <v>429</v>
      </c>
      <c r="E384" t="s">
        <v>430</v>
      </c>
      <c r="F384" t="s">
        <v>21</v>
      </c>
      <c r="G384">
        <v>2</v>
      </c>
      <c r="H384">
        <v>130.13</v>
      </c>
      <c r="I384">
        <v>-260260</v>
      </c>
      <c r="K384">
        <v>130.13</v>
      </c>
      <c r="L384">
        <v>-260260</v>
      </c>
      <c r="M384" t="s">
        <v>429</v>
      </c>
      <c r="N384" t="s">
        <v>428</v>
      </c>
    </row>
    <row r="385" spans="1:14" x14ac:dyDescent="0.25">
      <c r="A385" s="18">
        <v>45877</v>
      </c>
      <c r="B385" t="s">
        <v>289</v>
      </c>
      <c r="C385" t="s">
        <v>455</v>
      </c>
      <c r="D385" t="s">
        <v>456</v>
      </c>
      <c r="E385" t="s">
        <v>457</v>
      </c>
      <c r="F385" t="s">
        <v>21</v>
      </c>
      <c r="G385">
        <v>2</v>
      </c>
      <c r="H385">
        <v>124.05</v>
      </c>
      <c r="I385">
        <v>-248100</v>
      </c>
      <c r="K385">
        <v>124.05</v>
      </c>
      <c r="L385">
        <v>-248100</v>
      </c>
      <c r="M385" t="s">
        <v>456</v>
      </c>
      <c r="N385" t="s">
        <v>455</v>
      </c>
    </row>
    <row r="386" spans="1:14" x14ac:dyDescent="0.25">
      <c r="A386" s="18">
        <v>45877</v>
      </c>
      <c r="B386" t="s">
        <v>289</v>
      </c>
      <c r="C386" t="s">
        <v>446</v>
      </c>
      <c r="D386" t="s">
        <v>447</v>
      </c>
      <c r="E386" t="s">
        <v>495</v>
      </c>
      <c r="F386" t="s">
        <v>21</v>
      </c>
      <c r="G386">
        <v>1</v>
      </c>
      <c r="H386">
        <v>7744.5</v>
      </c>
      <c r="I386">
        <v>-77445</v>
      </c>
      <c r="K386">
        <v>7744.5</v>
      </c>
      <c r="L386">
        <v>-77445</v>
      </c>
      <c r="M386" t="s">
        <v>447</v>
      </c>
      <c r="N386" t="s">
        <v>446</v>
      </c>
    </row>
    <row r="387" spans="1:14" x14ac:dyDescent="0.25">
      <c r="A387" s="18">
        <v>45877</v>
      </c>
      <c r="B387" t="s">
        <v>319</v>
      </c>
      <c r="C387" t="s">
        <v>435</v>
      </c>
      <c r="D387" t="s">
        <v>99</v>
      </c>
      <c r="E387" t="s">
        <v>100</v>
      </c>
      <c r="F387" t="s">
        <v>21</v>
      </c>
      <c r="G387">
        <v>-12775</v>
      </c>
      <c r="H387">
        <v>7.8375000000000004</v>
      </c>
      <c r="I387">
        <v>100124.0625</v>
      </c>
      <c r="K387">
        <v>7.8375000000000004</v>
      </c>
      <c r="L387">
        <v>100124.0625</v>
      </c>
      <c r="M387" t="s">
        <v>99</v>
      </c>
      <c r="N387" t="s">
        <v>435</v>
      </c>
    </row>
    <row r="388" spans="1:14" x14ac:dyDescent="0.25">
      <c r="A388" s="18">
        <v>45882</v>
      </c>
      <c r="B388" t="s">
        <v>289</v>
      </c>
      <c r="C388" t="s">
        <v>477</v>
      </c>
      <c r="D388" t="s">
        <v>478</v>
      </c>
      <c r="E388" t="s">
        <v>277</v>
      </c>
      <c r="F388" t="s">
        <v>157</v>
      </c>
      <c r="G388">
        <v>3323</v>
      </c>
      <c r="H388">
        <v>112.35</v>
      </c>
      <c r="I388">
        <v>-373339.05</v>
      </c>
      <c r="K388">
        <v>112.35</v>
      </c>
      <c r="L388">
        <v>-373339.05</v>
      </c>
      <c r="M388" t="s">
        <v>478</v>
      </c>
      <c r="N388" t="s">
        <v>477</v>
      </c>
    </row>
    <row r="389" spans="1:14" x14ac:dyDescent="0.25">
      <c r="A389" s="18">
        <v>45882</v>
      </c>
      <c r="B389" t="s">
        <v>289</v>
      </c>
      <c r="C389" t="s">
        <v>477</v>
      </c>
      <c r="D389" t="s">
        <v>478</v>
      </c>
      <c r="E389" t="s">
        <v>277</v>
      </c>
      <c r="F389" t="s">
        <v>157</v>
      </c>
      <c r="G389">
        <v>3320</v>
      </c>
      <c r="H389">
        <v>112.47499999999999</v>
      </c>
      <c r="I389">
        <v>-373417</v>
      </c>
      <c r="K389">
        <v>112.47499999999999</v>
      </c>
      <c r="L389">
        <v>-373417</v>
      </c>
      <c r="M389" t="s">
        <v>478</v>
      </c>
      <c r="N389" t="s">
        <v>477</v>
      </c>
    </row>
    <row r="390" spans="1:14" x14ac:dyDescent="0.25">
      <c r="A390" s="18">
        <v>45882</v>
      </c>
      <c r="B390" t="s">
        <v>319</v>
      </c>
      <c r="C390" t="s">
        <v>490</v>
      </c>
      <c r="D390" t="s">
        <v>491</v>
      </c>
      <c r="E390" t="s">
        <v>492</v>
      </c>
      <c r="F390" t="s">
        <v>21</v>
      </c>
      <c r="G390">
        <v>-1688</v>
      </c>
      <c r="H390">
        <v>46.195500000000003</v>
      </c>
      <c r="I390">
        <v>77978.004000000001</v>
      </c>
      <c r="K390">
        <v>46.195500000000003</v>
      </c>
      <c r="L390">
        <v>77978.004000000001</v>
      </c>
      <c r="M390" t="s">
        <v>491</v>
      </c>
      <c r="N390" t="s">
        <v>490</v>
      </c>
    </row>
    <row r="391" spans="1:14" x14ac:dyDescent="0.25">
      <c r="A391" s="18">
        <v>45882</v>
      </c>
      <c r="B391" t="s">
        <v>289</v>
      </c>
      <c r="C391" t="s">
        <v>294</v>
      </c>
      <c r="D391" t="s">
        <v>80</v>
      </c>
      <c r="E391" t="s">
        <v>505</v>
      </c>
      <c r="F391" t="s">
        <v>82</v>
      </c>
      <c r="G391">
        <v>543</v>
      </c>
      <c r="H391">
        <v>67.739999999999995</v>
      </c>
      <c r="I391">
        <v>-36782.82</v>
      </c>
      <c r="K391">
        <v>67.739999999999995</v>
      </c>
      <c r="L391">
        <v>-36782.82</v>
      </c>
      <c r="M391" t="s">
        <v>80</v>
      </c>
      <c r="N391" t="s">
        <v>294</v>
      </c>
    </row>
    <row r="392" spans="1:14" x14ac:dyDescent="0.25">
      <c r="A392" s="18">
        <v>45882</v>
      </c>
      <c r="B392" t="s">
        <v>289</v>
      </c>
      <c r="C392" t="s">
        <v>452</v>
      </c>
      <c r="D392" t="s">
        <v>453</v>
      </c>
      <c r="E392" t="s">
        <v>454</v>
      </c>
      <c r="F392" t="s">
        <v>162</v>
      </c>
      <c r="G392">
        <v>2980</v>
      </c>
      <c r="H392">
        <v>145.94999999999999</v>
      </c>
      <c r="I392">
        <v>-434930.99999999994</v>
      </c>
      <c r="K392">
        <v>145.94999999999999</v>
      </c>
      <c r="L392">
        <v>-434930.99999999994</v>
      </c>
      <c r="M392" t="s">
        <v>453</v>
      </c>
      <c r="N392" t="s">
        <v>452</v>
      </c>
    </row>
    <row r="393" spans="1:14" x14ac:dyDescent="0.25">
      <c r="A393" s="18">
        <v>45883</v>
      </c>
      <c r="B393" t="s">
        <v>289</v>
      </c>
      <c r="C393" t="s">
        <v>477</v>
      </c>
      <c r="D393" t="s">
        <v>478</v>
      </c>
      <c r="E393" t="s">
        <v>277</v>
      </c>
      <c r="F393" t="s">
        <v>157</v>
      </c>
      <c r="G393">
        <v>3314</v>
      </c>
      <c r="H393">
        <v>113.25</v>
      </c>
      <c r="I393">
        <v>-375310.5</v>
      </c>
      <c r="K393">
        <v>113.25</v>
      </c>
      <c r="L393">
        <v>-375310.5</v>
      </c>
      <c r="M393" t="s">
        <v>478</v>
      </c>
      <c r="N393" t="s">
        <v>477</v>
      </c>
    </row>
    <row r="394" spans="1:14" x14ac:dyDescent="0.25">
      <c r="A394" s="18">
        <v>45883</v>
      </c>
      <c r="B394" t="s">
        <v>289</v>
      </c>
      <c r="C394" t="s">
        <v>506</v>
      </c>
      <c r="D394" t="s">
        <v>507</v>
      </c>
      <c r="E394" t="s">
        <v>508</v>
      </c>
      <c r="F394" t="s">
        <v>21</v>
      </c>
      <c r="G394">
        <v>3187</v>
      </c>
      <c r="H394">
        <v>31.41</v>
      </c>
      <c r="I394">
        <v>-100103.67</v>
      </c>
      <c r="K394">
        <v>31.41</v>
      </c>
      <c r="L394">
        <v>-100103.67</v>
      </c>
      <c r="M394" t="s">
        <v>507</v>
      </c>
      <c r="N394" t="s">
        <v>506</v>
      </c>
    </row>
    <row r="395" spans="1:14" x14ac:dyDescent="0.25">
      <c r="A395" s="18">
        <v>45883</v>
      </c>
      <c r="B395" t="s">
        <v>289</v>
      </c>
      <c r="C395" t="s">
        <v>331</v>
      </c>
      <c r="D395" t="s">
        <v>332</v>
      </c>
      <c r="E395" t="s">
        <v>333</v>
      </c>
      <c r="F395" t="s">
        <v>21</v>
      </c>
      <c r="G395">
        <v>42</v>
      </c>
      <c r="H395">
        <v>1199.7143000000001</v>
      </c>
      <c r="I395">
        <v>-50388.000600000007</v>
      </c>
      <c r="K395">
        <v>1199.7143000000001</v>
      </c>
      <c r="L395">
        <v>-50388.000600000007</v>
      </c>
      <c r="M395" t="s">
        <v>332</v>
      </c>
      <c r="N395" t="s">
        <v>331</v>
      </c>
    </row>
    <row r="396" spans="1:14" x14ac:dyDescent="0.25">
      <c r="A396" s="18">
        <v>45883</v>
      </c>
      <c r="B396" t="s">
        <v>289</v>
      </c>
      <c r="C396" t="s">
        <v>331</v>
      </c>
      <c r="D396" t="s">
        <v>332</v>
      </c>
      <c r="E396" t="s">
        <v>333</v>
      </c>
      <c r="F396" t="s">
        <v>21</v>
      </c>
      <c r="G396">
        <v>20</v>
      </c>
      <c r="H396">
        <v>1210.5999999999999</v>
      </c>
      <c r="I396">
        <v>-24212</v>
      </c>
      <c r="K396">
        <v>1210.5999999999999</v>
      </c>
      <c r="L396">
        <v>-24212</v>
      </c>
      <c r="M396" t="s">
        <v>332</v>
      </c>
      <c r="N396" t="s">
        <v>331</v>
      </c>
    </row>
    <row r="397" spans="1:14" x14ac:dyDescent="0.25">
      <c r="A397" s="18">
        <v>45883</v>
      </c>
      <c r="B397" t="s">
        <v>319</v>
      </c>
      <c r="C397" t="s">
        <v>331</v>
      </c>
      <c r="D397" t="s">
        <v>332</v>
      </c>
      <c r="E397" t="s">
        <v>333</v>
      </c>
      <c r="F397" t="s">
        <v>21</v>
      </c>
      <c r="G397">
        <v>-62</v>
      </c>
      <c r="H397">
        <v>1392.9</v>
      </c>
      <c r="I397">
        <v>86359.8</v>
      </c>
      <c r="K397">
        <v>1392.9</v>
      </c>
      <c r="L397">
        <v>86359.8</v>
      </c>
      <c r="M397" t="s">
        <v>332</v>
      </c>
      <c r="N397" t="s">
        <v>331</v>
      </c>
    </row>
    <row r="398" spans="1:14" x14ac:dyDescent="0.25">
      <c r="A398" s="18">
        <v>45888</v>
      </c>
      <c r="B398" t="s">
        <v>289</v>
      </c>
      <c r="C398" t="s">
        <v>290</v>
      </c>
      <c r="D398" t="s">
        <v>45</v>
      </c>
      <c r="E398" t="s">
        <v>46</v>
      </c>
      <c r="F398" t="s">
        <v>21</v>
      </c>
      <c r="G398">
        <v>941</v>
      </c>
      <c r="H398">
        <v>53.174999999999997</v>
      </c>
      <c r="I398">
        <v>-50037.674999999996</v>
      </c>
      <c r="K398">
        <v>53.174999999999997</v>
      </c>
      <c r="L398">
        <v>-50037.674999999996</v>
      </c>
      <c r="M398" t="s">
        <v>45</v>
      </c>
      <c r="N398" t="s">
        <v>290</v>
      </c>
    </row>
    <row r="399" spans="1:14" x14ac:dyDescent="0.25">
      <c r="A399" s="18">
        <v>45888</v>
      </c>
      <c r="B399" t="s">
        <v>319</v>
      </c>
      <c r="C399" t="s">
        <v>361</v>
      </c>
      <c r="D399" t="s">
        <v>93</v>
      </c>
      <c r="E399" t="s">
        <v>94</v>
      </c>
      <c r="F399" t="s">
        <v>21</v>
      </c>
      <c r="G399">
        <v>-1570</v>
      </c>
      <c r="H399">
        <v>95.3703</v>
      </c>
      <c r="I399">
        <v>149731.37100000001</v>
      </c>
      <c r="K399">
        <v>95.370300000000015</v>
      </c>
      <c r="L399">
        <v>149731.37100000001</v>
      </c>
      <c r="M399" t="s">
        <v>93</v>
      </c>
      <c r="N399" t="s">
        <v>361</v>
      </c>
    </row>
    <row r="400" spans="1:14" x14ac:dyDescent="0.25">
      <c r="A400" s="18">
        <v>45888</v>
      </c>
      <c r="B400" t="s">
        <v>289</v>
      </c>
      <c r="C400" t="s">
        <v>489</v>
      </c>
      <c r="D400" t="s">
        <v>66</v>
      </c>
      <c r="E400" t="s">
        <v>67</v>
      </c>
      <c r="F400" t="s">
        <v>49</v>
      </c>
      <c r="G400">
        <v>25</v>
      </c>
      <c r="H400">
        <v>2357.67</v>
      </c>
      <c r="I400">
        <v>-58941.75</v>
      </c>
      <c r="K400">
        <v>2357.67</v>
      </c>
      <c r="L400">
        <v>-58941.75</v>
      </c>
      <c r="M400" t="s">
        <v>66</v>
      </c>
      <c r="N400" t="s">
        <v>489</v>
      </c>
    </row>
    <row r="401" spans="1:14" x14ac:dyDescent="0.25">
      <c r="A401" s="18">
        <v>45888</v>
      </c>
      <c r="B401" t="s">
        <v>319</v>
      </c>
      <c r="C401" t="s">
        <v>323</v>
      </c>
      <c r="D401" t="s">
        <v>39</v>
      </c>
      <c r="E401" t="s">
        <v>40</v>
      </c>
      <c r="F401" t="s">
        <v>36</v>
      </c>
      <c r="G401">
        <v>-5152</v>
      </c>
      <c r="H401">
        <v>16.72</v>
      </c>
      <c r="I401">
        <v>86141.439999999988</v>
      </c>
      <c r="K401">
        <v>16.72</v>
      </c>
      <c r="L401">
        <v>86141.439999999988</v>
      </c>
      <c r="M401" t="s">
        <v>39</v>
      </c>
      <c r="N401" t="s">
        <v>323</v>
      </c>
    </row>
    <row r="402" spans="1:14" x14ac:dyDescent="0.25">
      <c r="A402" s="18">
        <v>45888</v>
      </c>
      <c r="B402" t="s">
        <v>289</v>
      </c>
      <c r="C402" t="s">
        <v>506</v>
      </c>
      <c r="D402" t="s">
        <v>507</v>
      </c>
      <c r="E402" t="s">
        <v>508</v>
      </c>
      <c r="F402" t="s">
        <v>21</v>
      </c>
      <c r="G402">
        <v>4760</v>
      </c>
      <c r="H402">
        <v>31.4937</v>
      </c>
      <c r="I402">
        <v>-149910.01199999999</v>
      </c>
      <c r="K402">
        <v>31.493699999999997</v>
      </c>
      <c r="L402">
        <v>-149910.01199999999</v>
      </c>
      <c r="M402" t="s">
        <v>507</v>
      </c>
      <c r="N402" t="s">
        <v>506</v>
      </c>
    </row>
    <row r="403" spans="1:14" x14ac:dyDescent="0.25">
      <c r="A403" s="18">
        <v>45888</v>
      </c>
      <c r="B403" t="s">
        <v>289</v>
      </c>
      <c r="C403" t="s">
        <v>331</v>
      </c>
      <c r="D403" t="s">
        <v>332</v>
      </c>
      <c r="E403" t="s">
        <v>333</v>
      </c>
      <c r="F403" t="s">
        <v>21</v>
      </c>
      <c r="G403">
        <v>70</v>
      </c>
      <c r="H403">
        <v>1422</v>
      </c>
      <c r="I403">
        <v>-99540</v>
      </c>
      <c r="K403">
        <v>1422</v>
      </c>
      <c r="L403">
        <v>-99540</v>
      </c>
      <c r="M403" t="s">
        <v>332</v>
      </c>
      <c r="N403" t="s">
        <v>331</v>
      </c>
    </row>
    <row r="404" spans="1:14" x14ac:dyDescent="0.25">
      <c r="A404" s="18">
        <v>45889</v>
      </c>
      <c r="B404" t="s">
        <v>289</v>
      </c>
      <c r="C404" t="s">
        <v>406</v>
      </c>
      <c r="D404" t="s">
        <v>509</v>
      </c>
      <c r="E404" t="s">
        <v>431</v>
      </c>
      <c r="F404" t="s">
        <v>21</v>
      </c>
      <c r="G404">
        <v>2</v>
      </c>
      <c r="H404">
        <v>120.43</v>
      </c>
      <c r="I404">
        <v>-240860</v>
      </c>
      <c r="K404">
        <v>120.43</v>
      </c>
      <c r="L404">
        <v>-240860</v>
      </c>
      <c r="M404" t="s">
        <v>509</v>
      </c>
      <c r="N404" t="s">
        <v>406</v>
      </c>
    </row>
    <row r="405" spans="1:14" x14ac:dyDescent="0.25">
      <c r="A405" s="18">
        <v>45889</v>
      </c>
      <c r="B405" t="s">
        <v>289</v>
      </c>
      <c r="C405" t="s">
        <v>342</v>
      </c>
      <c r="D405" t="s">
        <v>343</v>
      </c>
      <c r="E405" t="s">
        <v>282</v>
      </c>
      <c r="F405" t="s">
        <v>21</v>
      </c>
      <c r="G405">
        <v>752</v>
      </c>
      <c r="H405">
        <v>99.7</v>
      </c>
      <c r="I405">
        <v>-74974.400000000009</v>
      </c>
      <c r="K405">
        <v>99.700000000000017</v>
      </c>
      <c r="L405">
        <v>-74974.400000000009</v>
      </c>
      <c r="M405" t="s">
        <v>343</v>
      </c>
      <c r="N405" t="s">
        <v>342</v>
      </c>
    </row>
    <row r="406" spans="1:14" x14ac:dyDescent="0.25">
      <c r="A406" s="18">
        <v>45889</v>
      </c>
      <c r="B406" t="s">
        <v>289</v>
      </c>
      <c r="C406" t="s">
        <v>452</v>
      </c>
      <c r="D406" t="s">
        <v>453</v>
      </c>
      <c r="E406" t="s">
        <v>454</v>
      </c>
      <c r="F406" t="s">
        <v>162</v>
      </c>
      <c r="G406">
        <v>5600</v>
      </c>
      <c r="H406">
        <v>149.69999999999999</v>
      </c>
      <c r="I406">
        <v>-838319.99999999988</v>
      </c>
      <c r="K406">
        <v>149.69999999999999</v>
      </c>
      <c r="L406">
        <v>-838319.99999999988</v>
      </c>
      <c r="M406" t="s">
        <v>453</v>
      </c>
      <c r="N406" t="s">
        <v>452</v>
      </c>
    </row>
    <row r="407" spans="1:14" x14ac:dyDescent="0.25">
      <c r="A407" s="18">
        <v>45891</v>
      </c>
      <c r="B407" t="s">
        <v>289</v>
      </c>
      <c r="C407" t="s">
        <v>318</v>
      </c>
      <c r="D407" t="s">
        <v>22</v>
      </c>
      <c r="E407" t="s">
        <v>23</v>
      </c>
      <c r="F407" t="s">
        <v>21</v>
      </c>
      <c r="G407">
        <v>4449</v>
      </c>
      <c r="H407">
        <v>22.570900000000002</v>
      </c>
      <c r="I407">
        <v>-100417.93410000001</v>
      </c>
      <c r="K407">
        <v>22.570900000000002</v>
      </c>
      <c r="L407">
        <v>-100417.93410000001</v>
      </c>
      <c r="M407" t="s">
        <v>22</v>
      </c>
      <c r="N407" t="s">
        <v>318</v>
      </c>
    </row>
    <row r="408" spans="1:14" x14ac:dyDescent="0.25">
      <c r="A408" s="18">
        <v>45891</v>
      </c>
      <c r="B408" t="s">
        <v>289</v>
      </c>
      <c r="C408" t="s">
        <v>510</v>
      </c>
      <c r="D408" t="s">
        <v>511</v>
      </c>
      <c r="E408" t="s">
        <v>512</v>
      </c>
      <c r="F408" t="s">
        <v>162</v>
      </c>
      <c r="G408">
        <v>6550</v>
      </c>
      <c r="H408">
        <v>341.1789</v>
      </c>
      <c r="I408">
        <v>-2234721.7949999999</v>
      </c>
      <c r="K408">
        <v>341.1789</v>
      </c>
      <c r="L408">
        <v>-2234721.7949999999</v>
      </c>
      <c r="M408" t="s">
        <v>511</v>
      </c>
      <c r="N408" t="s">
        <v>510</v>
      </c>
    </row>
    <row r="409" spans="1:14" x14ac:dyDescent="0.25">
      <c r="A409" s="18">
        <v>45891</v>
      </c>
      <c r="B409" t="s">
        <v>289</v>
      </c>
      <c r="C409" t="s">
        <v>513</v>
      </c>
      <c r="D409" t="s">
        <v>514</v>
      </c>
      <c r="E409" t="s">
        <v>266</v>
      </c>
      <c r="F409" t="s">
        <v>49</v>
      </c>
      <c r="G409">
        <v>1015</v>
      </c>
      <c r="H409">
        <v>171.7638</v>
      </c>
      <c r="I409">
        <v>-174340.25700000001</v>
      </c>
      <c r="K409">
        <v>171.7638</v>
      </c>
      <c r="L409">
        <v>-174340.25700000001</v>
      </c>
      <c r="M409" t="s">
        <v>514</v>
      </c>
      <c r="N409" t="s">
        <v>513</v>
      </c>
    </row>
    <row r="410" spans="1:14" x14ac:dyDescent="0.25">
      <c r="A410" s="18">
        <v>45894</v>
      </c>
      <c r="B410" t="s">
        <v>289</v>
      </c>
      <c r="C410" t="s">
        <v>477</v>
      </c>
      <c r="D410" t="s">
        <v>478</v>
      </c>
      <c r="E410" t="s">
        <v>277</v>
      </c>
      <c r="F410" t="s">
        <v>157</v>
      </c>
      <c r="G410">
        <v>2783</v>
      </c>
      <c r="H410">
        <v>134.1</v>
      </c>
      <c r="I410">
        <v>-373200.3</v>
      </c>
      <c r="K410">
        <v>134.1</v>
      </c>
      <c r="L410">
        <v>-373200.3</v>
      </c>
      <c r="M410" t="s">
        <v>478</v>
      </c>
      <c r="N410" t="s">
        <v>477</v>
      </c>
    </row>
    <row r="411" spans="1:14" x14ac:dyDescent="0.25">
      <c r="A411" s="18">
        <v>45894</v>
      </c>
      <c r="B411" t="s">
        <v>319</v>
      </c>
      <c r="C411" t="s">
        <v>446</v>
      </c>
      <c r="D411" t="s">
        <v>447</v>
      </c>
      <c r="E411" t="s">
        <v>495</v>
      </c>
      <c r="F411" t="s">
        <v>21</v>
      </c>
      <c r="G411">
        <v>-2</v>
      </c>
      <c r="H411">
        <v>7835.5</v>
      </c>
      <c r="I411">
        <v>156710</v>
      </c>
      <c r="K411">
        <v>7835.5</v>
      </c>
      <c r="L411">
        <v>156710</v>
      </c>
      <c r="M411" t="s">
        <v>447</v>
      </c>
      <c r="N411" t="s">
        <v>446</v>
      </c>
    </row>
    <row r="412" spans="1:14" x14ac:dyDescent="0.25">
      <c r="A412" s="18">
        <v>45895</v>
      </c>
      <c r="B412" t="s">
        <v>319</v>
      </c>
      <c r="C412" t="s">
        <v>396</v>
      </c>
      <c r="D412" t="s">
        <v>466</v>
      </c>
      <c r="E412" t="s">
        <v>467</v>
      </c>
      <c r="F412" t="s">
        <v>49</v>
      </c>
      <c r="G412">
        <v>-8</v>
      </c>
      <c r="H412">
        <v>112.03125</v>
      </c>
      <c r="I412">
        <v>896250</v>
      </c>
      <c r="K412">
        <v>112.03125</v>
      </c>
      <c r="L412">
        <v>896250</v>
      </c>
      <c r="M412" t="s">
        <v>466</v>
      </c>
      <c r="N412" t="s">
        <v>396</v>
      </c>
    </row>
    <row r="413" spans="1:14" x14ac:dyDescent="0.25">
      <c r="A413" s="18">
        <v>45895</v>
      </c>
      <c r="B413" t="s">
        <v>289</v>
      </c>
      <c r="C413" t="s">
        <v>515</v>
      </c>
      <c r="D413" t="s">
        <v>516</v>
      </c>
      <c r="E413" t="s">
        <v>517</v>
      </c>
      <c r="F413" t="s">
        <v>49</v>
      </c>
      <c r="G413">
        <v>8</v>
      </c>
      <c r="H413">
        <v>112.0625</v>
      </c>
      <c r="I413">
        <v>-896500</v>
      </c>
      <c r="K413">
        <v>112.0625</v>
      </c>
      <c r="L413">
        <v>-896500</v>
      </c>
      <c r="M413" t="s">
        <v>516</v>
      </c>
      <c r="N413" t="s">
        <v>515</v>
      </c>
    </row>
    <row r="414" spans="1:14" x14ac:dyDescent="0.25">
      <c r="A414" s="18">
        <v>45895</v>
      </c>
      <c r="B414" t="s">
        <v>289</v>
      </c>
      <c r="C414" t="s">
        <v>290</v>
      </c>
      <c r="D414" t="s">
        <v>45</v>
      </c>
      <c r="E414" t="s">
        <v>46</v>
      </c>
      <c r="F414" t="s">
        <v>21</v>
      </c>
      <c r="G414">
        <v>1060</v>
      </c>
      <c r="H414">
        <v>47.21</v>
      </c>
      <c r="I414">
        <v>-50042.6</v>
      </c>
      <c r="K414">
        <v>47.21</v>
      </c>
      <c r="L414">
        <v>-50042.6</v>
      </c>
      <c r="M414" t="s">
        <v>45</v>
      </c>
      <c r="N414" t="s">
        <v>290</v>
      </c>
    </row>
    <row r="415" spans="1:14" x14ac:dyDescent="0.25">
      <c r="A415" s="18">
        <v>45895</v>
      </c>
      <c r="B415" t="s">
        <v>319</v>
      </c>
      <c r="C415" t="s">
        <v>361</v>
      </c>
      <c r="D415" t="s">
        <v>93</v>
      </c>
      <c r="E415" t="s">
        <v>94</v>
      </c>
      <c r="F415" t="s">
        <v>21</v>
      </c>
      <c r="G415">
        <v>-2911</v>
      </c>
      <c r="H415">
        <v>92.319000000000003</v>
      </c>
      <c r="I415">
        <v>268740.609</v>
      </c>
      <c r="K415">
        <v>92.319000000000003</v>
      </c>
      <c r="L415">
        <v>268740.609</v>
      </c>
      <c r="M415" t="s">
        <v>93</v>
      </c>
      <c r="N415" t="s">
        <v>361</v>
      </c>
    </row>
    <row r="416" spans="1:14" x14ac:dyDescent="0.25">
      <c r="A416" s="18">
        <v>45895</v>
      </c>
      <c r="B416" t="s">
        <v>319</v>
      </c>
      <c r="C416" t="s">
        <v>518</v>
      </c>
      <c r="D416" t="s">
        <v>519</v>
      </c>
      <c r="E416" t="s">
        <v>520</v>
      </c>
      <c r="F416" t="s">
        <v>36</v>
      </c>
      <c r="G416">
        <v>-5</v>
      </c>
      <c r="H416">
        <v>90.41</v>
      </c>
      <c r="I416">
        <v>452049.99999999994</v>
      </c>
      <c r="K416">
        <v>90.409999999999982</v>
      </c>
      <c r="L416">
        <v>452049.99999999994</v>
      </c>
      <c r="M416" t="s">
        <v>519</v>
      </c>
      <c r="N416" t="s">
        <v>518</v>
      </c>
    </row>
    <row r="417" spans="1:14" x14ac:dyDescent="0.25">
      <c r="A417" s="18">
        <v>45895</v>
      </c>
      <c r="B417" t="s">
        <v>289</v>
      </c>
      <c r="C417" t="s">
        <v>521</v>
      </c>
      <c r="D417" t="s">
        <v>522</v>
      </c>
      <c r="E417" t="s">
        <v>523</v>
      </c>
      <c r="F417" t="s">
        <v>36</v>
      </c>
      <c r="G417">
        <v>5</v>
      </c>
      <c r="H417">
        <v>90.38</v>
      </c>
      <c r="I417">
        <v>-451900</v>
      </c>
      <c r="K417">
        <v>90.38</v>
      </c>
      <c r="L417">
        <v>-451900</v>
      </c>
      <c r="M417" t="s">
        <v>522</v>
      </c>
      <c r="N417" t="s">
        <v>521</v>
      </c>
    </row>
    <row r="418" spans="1:14" x14ac:dyDescent="0.25">
      <c r="A418" s="18">
        <v>45895</v>
      </c>
      <c r="B418" t="s">
        <v>289</v>
      </c>
      <c r="C418" t="s">
        <v>425</v>
      </c>
      <c r="D418" t="s">
        <v>426</v>
      </c>
      <c r="E418" t="s">
        <v>427</v>
      </c>
      <c r="F418" t="s">
        <v>49</v>
      </c>
      <c r="G418">
        <v>8815</v>
      </c>
      <c r="H418">
        <v>19.166799999999999</v>
      </c>
      <c r="I418">
        <v>-168955.34199999998</v>
      </c>
      <c r="K418">
        <v>19.166799999999999</v>
      </c>
      <c r="L418">
        <v>-168955.34199999998</v>
      </c>
      <c r="M418" t="s">
        <v>426</v>
      </c>
      <c r="N418" t="s">
        <v>425</v>
      </c>
    </row>
    <row r="419" spans="1:14" x14ac:dyDescent="0.25">
      <c r="A419" s="18">
        <v>45895</v>
      </c>
      <c r="B419" t="s">
        <v>289</v>
      </c>
      <c r="C419" t="s">
        <v>443</v>
      </c>
      <c r="D419" t="s">
        <v>444</v>
      </c>
      <c r="E419" t="s">
        <v>445</v>
      </c>
      <c r="F419" t="s">
        <v>21</v>
      </c>
      <c r="G419">
        <v>3</v>
      </c>
      <c r="H419">
        <v>24217</v>
      </c>
      <c r="I419">
        <v>-363255</v>
      </c>
      <c r="K419">
        <v>24217</v>
      </c>
      <c r="L419">
        <v>-363255</v>
      </c>
      <c r="M419" t="s">
        <v>444</v>
      </c>
      <c r="N419" t="s">
        <v>443</v>
      </c>
    </row>
    <row r="420" spans="1:14" x14ac:dyDescent="0.25">
      <c r="A420" s="18">
        <v>45895</v>
      </c>
      <c r="B420" t="s">
        <v>319</v>
      </c>
      <c r="C420" t="s">
        <v>342</v>
      </c>
      <c r="D420" t="s">
        <v>343</v>
      </c>
      <c r="E420" t="s">
        <v>282</v>
      </c>
      <c r="F420" t="s">
        <v>21</v>
      </c>
      <c r="G420">
        <v>-1616</v>
      </c>
      <c r="H420">
        <v>93.060699999999997</v>
      </c>
      <c r="I420">
        <v>150386.0912</v>
      </c>
      <c r="K420">
        <v>93.060699999999997</v>
      </c>
      <c r="L420">
        <v>150386.0912</v>
      </c>
      <c r="M420" t="s">
        <v>343</v>
      </c>
      <c r="N420" t="s">
        <v>342</v>
      </c>
    </row>
    <row r="421" spans="1:14" x14ac:dyDescent="0.25">
      <c r="A421" s="18">
        <v>45895</v>
      </c>
      <c r="B421" t="s">
        <v>319</v>
      </c>
      <c r="C421" t="s">
        <v>446</v>
      </c>
      <c r="D421" t="s">
        <v>447</v>
      </c>
      <c r="E421" t="s">
        <v>495</v>
      </c>
      <c r="F421" t="s">
        <v>21</v>
      </c>
      <c r="G421">
        <v>-4</v>
      </c>
      <c r="H421">
        <v>7730</v>
      </c>
      <c r="I421">
        <v>309200</v>
      </c>
      <c r="K421">
        <v>7730</v>
      </c>
      <c r="L421">
        <v>309200</v>
      </c>
      <c r="M421" t="s">
        <v>447</v>
      </c>
      <c r="N421" t="s">
        <v>446</v>
      </c>
    </row>
    <row r="422" spans="1:14" x14ac:dyDescent="0.25">
      <c r="A422" s="18">
        <v>45895</v>
      </c>
      <c r="B422" t="s">
        <v>289</v>
      </c>
      <c r="C422" t="s">
        <v>331</v>
      </c>
      <c r="D422" t="s">
        <v>332</v>
      </c>
      <c r="E422" t="s">
        <v>333</v>
      </c>
      <c r="F422" t="s">
        <v>21</v>
      </c>
      <c r="G422">
        <v>69</v>
      </c>
      <c r="H422">
        <v>1438.4666999999999</v>
      </c>
      <c r="I422">
        <v>-99254.20229999999</v>
      </c>
      <c r="K422">
        <v>1438.4666999999999</v>
      </c>
      <c r="L422">
        <v>-99254.20229999999</v>
      </c>
      <c r="M422" t="s">
        <v>332</v>
      </c>
      <c r="N422" t="s">
        <v>331</v>
      </c>
    </row>
    <row r="423" spans="1:14" x14ac:dyDescent="0.25">
      <c r="A423" s="18">
        <v>45896</v>
      </c>
      <c r="B423" t="s">
        <v>289</v>
      </c>
      <c r="C423" t="s">
        <v>290</v>
      </c>
      <c r="D423" t="s">
        <v>45</v>
      </c>
      <c r="E423" t="s">
        <v>46</v>
      </c>
      <c r="F423" t="s">
        <v>21</v>
      </c>
      <c r="G423">
        <v>2105</v>
      </c>
      <c r="H423">
        <v>47.55</v>
      </c>
      <c r="I423">
        <v>-100092.75</v>
      </c>
      <c r="K423">
        <v>47.55</v>
      </c>
      <c r="L423">
        <v>-100092.75</v>
      </c>
      <c r="M423" t="s">
        <v>45</v>
      </c>
      <c r="N423" t="s">
        <v>290</v>
      </c>
    </row>
    <row r="424" spans="1:14" x14ac:dyDescent="0.25">
      <c r="A424" s="18">
        <v>45896</v>
      </c>
      <c r="B424" t="s">
        <v>289</v>
      </c>
      <c r="C424" t="s">
        <v>314</v>
      </c>
      <c r="D424" t="s">
        <v>315</v>
      </c>
      <c r="E424" t="s">
        <v>362</v>
      </c>
      <c r="F424" t="s">
        <v>21</v>
      </c>
      <c r="G424">
        <v>3964</v>
      </c>
      <c r="H424">
        <v>25.215199999999999</v>
      </c>
      <c r="I424">
        <v>-99953.05279999999</v>
      </c>
      <c r="K424">
        <v>25.215199999999996</v>
      </c>
      <c r="L424">
        <v>-99953.05279999999</v>
      </c>
      <c r="M424" t="s">
        <v>315</v>
      </c>
      <c r="N424" t="s">
        <v>314</v>
      </c>
    </row>
    <row r="425" spans="1:14" x14ac:dyDescent="0.25">
      <c r="A425" s="18">
        <v>45896</v>
      </c>
      <c r="B425" t="s">
        <v>289</v>
      </c>
      <c r="C425" t="s">
        <v>450</v>
      </c>
      <c r="D425" t="s">
        <v>116</v>
      </c>
      <c r="E425" t="s">
        <v>451</v>
      </c>
      <c r="F425" t="s">
        <v>21</v>
      </c>
      <c r="G425">
        <v>14370</v>
      </c>
      <c r="H425">
        <v>6.7821999999999996</v>
      </c>
      <c r="I425">
        <v>-97460.213999999993</v>
      </c>
      <c r="K425">
        <v>6.7821999999999996</v>
      </c>
      <c r="L425">
        <v>-97460.213999999993</v>
      </c>
      <c r="M425" t="s">
        <v>116</v>
      </c>
      <c r="N425" t="s">
        <v>450</v>
      </c>
    </row>
    <row r="426" spans="1:14" x14ac:dyDescent="0.25">
      <c r="A426" s="18">
        <v>45896</v>
      </c>
      <c r="B426" t="s">
        <v>289</v>
      </c>
      <c r="C426" t="s">
        <v>406</v>
      </c>
      <c r="D426" t="s">
        <v>509</v>
      </c>
      <c r="E426" t="s">
        <v>431</v>
      </c>
      <c r="F426" t="s">
        <v>21</v>
      </c>
      <c r="G426">
        <v>2</v>
      </c>
      <c r="H426">
        <v>120.34</v>
      </c>
      <c r="I426">
        <v>-240680</v>
      </c>
      <c r="K426">
        <v>120.34</v>
      </c>
      <c r="L426">
        <v>-240680</v>
      </c>
      <c r="M426" t="s">
        <v>509</v>
      </c>
      <c r="N426" t="s">
        <v>406</v>
      </c>
    </row>
    <row r="427" spans="1:14" x14ac:dyDescent="0.25">
      <c r="A427" s="18">
        <v>45896</v>
      </c>
      <c r="B427" t="s">
        <v>289</v>
      </c>
      <c r="C427" t="s">
        <v>506</v>
      </c>
      <c r="D427" t="s">
        <v>507</v>
      </c>
      <c r="E427" t="s">
        <v>508</v>
      </c>
      <c r="F427" t="s">
        <v>21</v>
      </c>
      <c r="G427">
        <v>3194</v>
      </c>
      <c r="H427">
        <v>30.29</v>
      </c>
      <c r="I427">
        <v>-96746.26</v>
      </c>
      <c r="K427">
        <v>30.29</v>
      </c>
      <c r="L427">
        <v>-96746.26</v>
      </c>
      <c r="M427" t="s">
        <v>507</v>
      </c>
      <c r="N427" t="s">
        <v>506</v>
      </c>
    </row>
    <row r="428" spans="1:14" x14ac:dyDescent="0.25">
      <c r="A428" s="18">
        <v>45896</v>
      </c>
      <c r="B428" t="s">
        <v>319</v>
      </c>
      <c r="C428" t="s">
        <v>443</v>
      </c>
      <c r="D428" t="s">
        <v>444</v>
      </c>
      <c r="E428" t="s">
        <v>445</v>
      </c>
      <c r="F428" t="s">
        <v>21</v>
      </c>
      <c r="G428">
        <v>-1</v>
      </c>
      <c r="H428">
        <v>24087</v>
      </c>
      <c r="I428">
        <v>120435</v>
      </c>
      <c r="K428">
        <v>24087</v>
      </c>
      <c r="L428">
        <v>120435</v>
      </c>
      <c r="M428" t="s">
        <v>444</v>
      </c>
      <c r="N428" t="s">
        <v>443</v>
      </c>
    </row>
    <row r="429" spans="1:14" x14ac:dyDescent="0.25">
      <c r="A429" s="18">
        <v>45897</v>
      </c>
      <c r="B429" t="s">
        <v>289</v>
      </c>
      <c r="C429" t="s">
        <v>290</v>
      </c>
      <c r="D429" t="s">
        <v>45</v>
      </c>
      <c r="E429" t="s">
        <v>46</v>
      </c>
      <c r="F429" t="s">
        <v>21</v>
      </c>
      <c r="G429">
        <v>1060</v>
      </c>
      <c r="H429">
        <v>47.11</v>
      </c>
      <c r="I429">
        <v>-49936.6</v>
      </c>
      <c r="K429">
        <v>47.11</v>
      </c>
      <c r="L429">
        <v>-49936.6</v>
      </c>
      <c r="M429" t="s">
        <v>45</v>
      </c>
      <c r="N429" t="s">
        <v>290</v>
      </c>
    </row>
    <row r="430" spans="1:14" x14ac:dyDescent="0.25">
      <c r="A430" s="18">
        <v>45897</v>
      </c>
      <c r="B430" t="s">
        <v>289</v>
      </c>
      <c r="C430" t="s">
        <v>311</v>
      </c>
      <c r="D430" t="s">
        <v>312</v>
      </c>
      <c r="E430" t="s">
        <v>313</v>
      </c>
      <c r="F430" t="s">
        <v>21</v>
      </c>
      <c r="G430">
        <v>350</v>
      </c>
      <c r="H430">
        <v>286.05</v>
      </c>
      <c r="I430">
        <v>-100117.5</v>
      </c>
      <c r="K430">
        <v>286.05</v>
      </c>
      <c r="L430">
        <v>-100117.5</v>
      </c>
      <c r="M430" t="s">
        <v>312</v>
      </c>
      <c r="N430" t="s">
        <v>311</v>
      </c>
    </row>
    <row r="431" spans="1:14" x14ac:dyDescent="0.25">
      <c r="A431" s="18">
        <v>45902</v>
      </c>
      <c r="B431" t="s">
        <v>319</v>
      </c>
      <c r="C431" t="s">
        <v>524</v>
      </c>
      <c r="D431" t="s">
        <v>525</v>
      </c>
      <c r="E431" t="s">
        <v>526</v>
      </c>
      <c r="F431" t="s">
        <v>21</v>
      </c>
      <c r="G431">
        <v>-2</v>
      </c>
      <c r="H431">
        <v>120.08</v>
      </c>
      <c r="I431">
        <v>240160</v>
      </c>
      <c r="K431">
        <v>120.08</v>
      </c>
      <c r="L431">
        <v>240160</v>
      </c>
      <c r="M431" t="s">
        <v>525</v>
      </c>
      <c r="N431" t="s">
        <v>524</v>
      </c>
    </row>
    <row r="432" spans="1:14" x14ac:dyDescent="0.25">
      <c r="A432" s="18">
        <v>45903</v>
      </c>
      <c r="B432" t="s">
        <v>319</v>
      </c>
      <c r="C432" t="s">
        <v>458</v>
      </c>
      <c r="D432" t="s">
        <v>459</v>
      </c>
      <c r="E432" t="s">
        <v>460</v>
      </c>
      <c r="F432" t="s">
        <v>82</v>
      </c>
      <c r="G432">
        <v>-2252</v>
      </c>
      <c r="H432">
        <v>80.858900000000006</v>
      </c>
      <c r="I432">
        <v>182094.24280000001</v>
      </c>
      <c r="K432">
        <v>80.858900000000006</v>
      </c>
      <c r="L432">
        <v>182094.24280000001</v>
      </c>
      <c r="M432" t="s">
        <v>459</v>
      </c>
      <c r="N432" t="s">
        <v>458</v>
      </c>
    </row>
    <row r="433" spans="1:14" x14ac:dyDescent="0.25">
      <c r="A433" s="18">
        <v>45903</v>
      </c>
      <c r="B433" t="s">
        <v>319</v>
      </c>
      <c r="C433" t="s">
        <v>425</v>
      </c>
      <c r="D433" t="s">
        <v>426</v>
      </c>
      <c r="E433" t="s">
        <v>427</v>
      </c>
      <c r="F433" t="s">
        <v>49</v>
      </c>
      <c r="G433">
        <v>-9579</v>
      </c>
      <c r="H433">
        <v>19.8871</v>
      </c>
      <c r="I433">
        <v>190498.53090000001</v>
      </c>
      <c r="K433">
        <v>19.8871</v>
      </c>
      <c r="L433">
        <v>190498.53090000001</v>
      </c>
      <c r="M433" t="s">
        <v>426</v>
      </c>
      <c r="N433" t="s">
        <v>425</v>
      </c>
    </row>
    <row r="434" spans="1:14" x14ac:dyDescent="0.25">
      <c r="A434" s="18">
        <v>45903</v>
      </c>
      <c r="B434" t="s">
        <v>289</v>
      </c>
      <c r="C434" t="s">
        <v>450</v>
      </c>
      <c r="D434" t="s">
        <v>116</v>
      </c>
      <c r="E434" t="s">
        <v>451</v>
      </c>
      <c r="F434" t="s">
        <v>21</v>
      </c>
      <c r="G434">
        <v>24174</v>
      </c>
      <c r="H434">
        <v>6.8170000000000002</v>
      </c>
      <c r="I434">
        <v>-164794.158</v>
      </c>
      <c r="K434">
        <v>6.8170000000000002</v>
      </c>
      <c r="L434">
        <v>-164794.158</v>
      </c>
      <c r="M434" t="s">
        <v>116</v>
      </c>
      <c r="N434" t="s">
        <v>450</v>
      </c>
    </row>
    <row r="435" spans="1:14" x14ac:dyDescent="0.25">
      <c r="A435" s="18">
        <v>45904</v>
      </c>
      <c r="B435" t="s">
        <v>289</v>
      </c>
      <c r="C435" t="s">
        <v>425</v>
      </c>
      <c r="D435" t="s">
        <v>426</v>
      </c>
      <c r="E435" t="s">
        <v>427</v>
      </c>
      <c r="F435" t="s">
        <v>49</v>
      </c>
      <c r="G435">
        <v>2839</v>
      </c>
      <c r="H435">
        <v>19.605699999999999</v>
      </c>
      <c r="I435">
        <v>-55660.582299999995</v>
      </c>
      <c r="K435">
        <v>19.605699999999999</v>
      </c>
      <c r="L435">
        <v>-55660.582299999995</v>
      </c>
      <c r="M435" t="s">
        <v>426</v>
      </c>
      <c r="N435" t="s">
        <v>425</v>
      </c>
    </row>
    <row r="436" spans="1:14" x14ac:dyDescent="0.25">
      <c r="A436" s="18">
        <v>45904</v>
      </c>
      <c r="B436" t="s">
        <v>289</v>
      </c>
      <c r="C436" t="s">
        <v>301</v>
      </c>
      <c r="D436" t="s">
        <v>120</v>
      </c>
      <c r="E436" t="s">
        <v>363</v>
      </c>
      <c r="F436" t="s">
        <v>21</v>
      </c>
      <c r="G436">
        <v>358</v>
      </c>
      <c r="H436">
        <v>279.2199</v>
      </c>
      <c r="I436">
        <v>-99960.724199999997</v>
      </c>
      <c r="K436">
        <v>279.2199</v>
      </c>
      <c r="L436">
        <v>-99960.724199999997</v>
      </c>
      <c r="M436" t="s">
        <v>120</v>
      </c>
      <c r="N436" t="s">
        <v>301</v>
      </c>
    </row>
    <row r="437" spans="1:14" x14ac:dyDescent="0.25">
      <c r="A437" s="18">
        <v>45904</v>
      </c>
      <c r="B437" t="s">
        <v>319</v>
      </c>
      <c r="C437" t="s">
        <v>524</v>
      </c>
      <c r="D437" t="s">
        <v>525</v>
      </c>
      <c r="E437" t="s">
        <v>526</v>
      </c>
      <c r="F437" t="s">
        <v>21</v>
      </c>
      <c r="G437">
        <v>-3</v>
      </c>
      <c r="H437">
        <v>120.98</v>
      </c>
      <c r="I437">
        <v>362940</v>
      </c>
      <c r="K437">
        <v>120.98</v>
      </c>
      <c r="L437">
        <v>362940</v>
      </c>
      <c r="M437" t="s">
        <v>525</v>
      </c>
      <c r="N437" t="s">
        <v>524</v>
      </c>
    </row>
    <row r="438" spans="1:14" x14ac:dyDescent="0.25">
      <c r="A438" s="18">
        <v>45904</v>
      </c>
      <c r="B438" t="s">
        <v>319</v>
      </c>
      <c r="C438" t="s">
        <v>428</v>
      </c>
      <c r="D438" t="s">
        <v>429</v>
      </c>
      <c r="E438" t="s">
        <v>430</v>
      </c>
      <c r="F438" t="s">
        <v>21</v>
      </c>
      <c r="G438">
        <v>-8</v>
      </c>
      <c r="H438">
        <v>129.56</v>
      </c>
      <c r="I438">
        <v>1036480</v>
      </c>
      <c r="K438">
        <v>129.56</v>
      </c>
      <c r="L438">
        <v>1036480</v>
      </c>
      <c r="M438" t="s">
        <v>429</v>
      </c>
      <c r="N438" t="s">
        <v>428</v>
      </c>
    </row>
    <row r="439" spans="1:14" x14ac:dyDescent="0.25">
      <c r="A439" s="18">
        <v>45904</v>
      </c>
      <c r="B439" t="s">
        <v>289</v>
      </c>
      <c r="C439" t="s">
        <v>527</v>
      </c>
      <c r="D439" t="s">
        <v>528</v>
      </c>
      <c r="E439" t="s">
        <v>529</v>
      </c>
      <c r="F439" t="s">
        <v>21</v>
      </c>
      <c r="G439">
        <v>8</v>
      </c>
      <c r="H439">
        <v>128.55000000000001</v>
      </c>
      <c r="I439">
        <v>-1028400.0000000001</v>
      </c>
      <c r="K439">
        <v>128.55000000000001</v>
      </c>
      <c r="L439">
        <v>-1028400.0000000001</v>
      </c>
      <c r="M439" t="s">
        <v>528</v>
      </c>
      <c r="N439" t="s">
        <v>527</v>
      </c>
    </row>
    <row r="440" spans="1:14" x14ac:dyDescent="0.25">
      <c r="A440" s="18">
        <v>45904</v>
      </c>
      <c r="B440" t="s">
        <v>319</v>
      </c>
      <c r="C440" t="s">
        <v>406</v>
      </c>
      <c r="D440" t="s">
        <v>509</v>
      </c>
      <c r="E440" t="s">
        <v>431</v>
      </c>
      <c r="F440" t="s">
        <v>21</v>
      </c>
      <c r="G440">
        <v>-16</v>
      </c>
      <c r="H440">
        <v>120.28</v>
      </c>
      <c r="I440">
        <v>1924480</v>
      </c>
      <c r="K440">
        <v>120.28</v>
      </c>
      <c r="L440">
        <v>1924480</v>
      </c>
      <c r="M440" t="s">
        <v>509</v>
      </c>
      <c r="N440" t="s">
        <v>406</v>
      </c>
    </row>
    <row r="441" spans="1:14" x14ac:dyDescent="0.25">
      <c r="A441" s="18">
        <v>45904</v>
      </c>
      <c r="B441" t="s">
        <v>289</v>
      </c>
      <c r="C441" t="s">
        <v>530</v>
      </c>
      <c r="D441" t="s">
        <v>531</v>
      </c>
      <c r="E441" t="s">
        <v>532</v>
      </c>
      <c r="F441" t="s">
        <v>21</v>
      </c>
      <c r="G441">
        <v>16</v>
      </c>
      <c r="H441">
        <v>119.36</v>
      </c>
      <c r="I441">
        <v>-1909760</v>
      </c>
      <c r="K441">
        <v>119.36</v>
      </c>
      <c r="L441">
        <v>-1909760</v>
      </c>
      <c r="M441" t="s">
        <v>531</v>
      </c>
      <c r="N441" t="s">
        <v>530</v>
      </c>
    </row>
    <row r="442" spans="1:14" x14ac:dyDescent="0.25">
      <c r="A442" s="18">
        <v>45904</v>
      </c>
      <c r="B442" t="s">
        <v>319</v>
      </c>
      <c r="C442" t="s">
        <v>455</v>
      </c>
      <c r="D442" t="s">
        <v>456</v>
      </c>
      <c r="E442" t="s">
        <v>457</v>
      </c>
      <c r="F442" t="s">
        <v>21</v>
      </c>
      <c r="G442">
        <v>-9</v>
      </c>
      <c r="H442">
        <v>123.10444440000001</v>
      </c>
      <c r="I442">
        <v>1107939.9996</v>
      </c>
      <c r="K442">
        <v>123.10444439999999</v>
      </c>
      <c r="L442">
        <v>1107939.9996</v>
      </c>
      <c r="M442" t="s">
        <v>456</v>
      </c>
      <c r="N442" t="s">
        <v>455</v>
      </c>
    </row>
    <row r="443" spans="1:14" x14ac:dyDescent="0.25">
      <c r="A443" s="18">
        <v>45904</v>
      </c>
      <c r="B443" t="s">
        <v>289</v>
      </c>
      <c r="C443" t="s">
        <v>533</v>
      </c>
      <c r="D443" t="s">
        <v>534</v>
      </c>
      <c r="E443" t="s">
        <v>535</v>
      </c>
      <c r="F443" t="s">
        <v>21</v>
      </c>
      <c r="G443">
        <v>9</v>
      </c>
      <c r="H443">
        <v>122.6744444</v>
      </c>
      <c r="I443">
        <v>-1104069.9996</v>
      </c>
      <c r="K443">
        <v>122.6744444</v>
      </c>
      <c r="L443">
        <v>-1104069.9996</v>
      </c>
      <c r="M443" t="s">
        <v>534</v>
      </c>
      <c r="N443" t="s">
        <v>533</v>
      </c>
    </row>
    <row r="444" spans="1:14" x14ac:dyDescent="0.25">
      <c r="A444" s="18">
        <v>45904</v>
      </c>
      <c r="B444" t="s">
        <v>289</v>
      </c>
      <c r="C444" t="s">
        <v>533</v>
      </c>
      <c r="D444" t="s">
        <v>534</v>
      </c>
      <c r="E444" t="s">
        <v>535</v>
      </c>
      <c r="F444" t="s">
        <v>21</v>
      </c>
      <c r="G444">
        <v>3</v>
      </c>
      <c r="H444">
        <v>122.76</v>
      </c>
      <c r="I444">
        <v>-368280.00000000006</v>
      </c>
      <c r="K444">
        <v>122.76000000000002</v>
      </c>
      <c r="L444">
        <v>-368280.00000000006</v>
      </c>
      <c r="M444" t="s">
        <v>534</v>
      </c>
      <c r="N444" t="s">
        <v>533</v>
      </c>
    </row>
    <row r="445" spans="1:14" x14ac:dyDescent="0.25">
      <c r="A445" s="18">
        <v>45904</v>
      </c>
      <c r="B445" t="s">
        <v>289</v>
      </c>
      <c r="C445" t="s">
        <v>464</v>
      </c>
      <c r="D445" t="s">
        <v>465</v>
      </c>
      <c r="E445" t="s">
        <v>265</v>
      </c>
      <c r="F445" t="s">
        <v>49</v>
      </c>
      <c r="G445">
        <v>4322</v>
      </c>
      <c r="H445">
        <v>27.028700000000001</v>
      </c>
      <c r="I445">
        <v>-116818.0414</v>
      </c>
      <c r="K445">
        <v>27.028700000000001</v>
      </c>
      <c r="L445">
        <v>-116818.0414</v>
      </c>
      <c r="M445" t="s">
        <v>465</v>
      </c>
      <c r="N445" t="s">
        <v>464</v>
      </c>
    </row>
    <row r="446" spans="1:14" x14ac:dyDescent="0.25">
      <c r="A446" s="18">
        <v>45910</v>
      </c>
      <c r="B446" t="s">
        <v>319</v>
      </c>
      <c r="C446" t="s">
        <v>290</v>
      </c>
      <c r="D446" t="s">
        <v>45</v>
      </c>
      <c r="E446" t="s">
        <v>46</v>
      </c>
      <c r="F446" t="s">
        <v>21</v>
      </c>
      <c r="G446">
        <v>-4148</v>
      </c>
      <c r="H446">
        <v>48.194800000000001</v>
      </c>
      <c r="I446">
        <v>199912.03039999999</v>
      </c>
      <c r="K446">
        <v>48.194800000000001</v>
      </c>
      <c r="L446">
        <v>199912.03039999999</v>
      </c>
      <c r="M446" t="s">
        <v>45</v>
      </c>
      <c r="N446" t="s">
        <v>290</v>
      </c>
    </row>
    <row r="447" spans="1:14" x14ac:dyDescent="0.25">
      <c r="A447" s="18">
        <v>45910</v>
      </c>
      <c r="B447" t="s">
        <v>289</v>
      </c>
      <c r="C447" t="s">
        <v>314</v>
      </c>
      <c r="D447" t="s">
        <v>315</v>
      </c>
      <c r="E447" t="s">
        <v>362</v>
      </c>
      <c r="F447" t="s">
        <v>21</v>
      </c>
      <c r="G447">
        <v>2118</v>
      </c>
      <c r="H447">
        <v>23.6372</v>
      </c>
      <c r="I447">
        <v>-50063.589599999999</v>
      </c>
      <c r="K447">
        <v>23.6372</v>
      </c>
      <c r="L447">
        <v>-50063.589599999999</v>
      </c>
      <c r="M447" t="s">
        <v>315</v>
      </c>
      <c r="N447" t="s">
        <v>314</v>
      </c>
    </row>
    <row r="448" spans="1:14" x14ac:dyDescent="0.25">
      <c r="A448" s="18">
        <v>45910</v>
      </c>
      <c r="B448" t="s">
        <v>289</v>
      </c>
      <c r="C448" t="s">
        <v>404</v>
      </c>
      <c r="D448" t="s">
        <v>405</v>
      </c>
      <c r="E448" t="s">
        <v>261</v>
      </c>
      <c r="F448" t="s">
        <v>21</v>
      </c>
      <c r="G448">
        <v>2130</v>
      </c>
      <c r="H448">
        <v>35.175400000000003</v>
      </c>
      <c r="I448">
        <v>-74923.602000000014</v>
      </c>
      <c r="K448">
        <v>35.175400000000003</v>
      </c>
      <c r="L448">
        <v>-74923.602000000014</v>
      </c>
      <c r="M448" t="s">
        <v>405</v>
      </c>
      <c r="N448" t="s">
        <v>404</v>
      </c>
    </row>
    <row r="449" spans="1:14" x14ac:dyDescent="0.25">
      <c r="A449" s="18">
        <v>45910</v>
      </c>
      <c r="B449" t="s">
        <v>289</v>
      </c>
      <c r="C449" t="s">
        <v>318</v>
      </c>
      <c r="D449" t="s">
        <v>22</v>
      </c>
      <c r="E449" t="s">
        <v>23</v>
      </c>
      <c r="F449" t="s">
        <v>21</v>
      </c>
      <c r="G449">
        <v>2330</v>
      </c>
      <c r="H449">
        <v>21.518799999999999</v>
      </c>
      <c r="I449">
        <v>-50138.803999999996</v>
      </c>
      <c r="K449">
        <v>21.518799999999999</v>
      </c>
      <c r="L449">
        <v>-50138.803999999996</v>
      </c>
      <c r="M449" t="s">
        <v>22</v>
      </c>
      <c r="N449" t="s">
        <v>318</v>
      </c>
    </row>
    <row r="450" spans="1:14" x14ac:dyDescent="0.25">
      <c r="A450" s="18">
        <v>45910</v>
      </c>
      <c r="B450" t="s">
        <v>289</v>
      </c>
      <c r="C450" t="s">
        <v>536</v>
      </c>
      <c r="D450" t="s">
        <v>537</v>
      </c>
      <c r="E450" t="s">
        <v>538</v>
      </c>
      <c r="F450" t="s">
        <v>21</v>
      </c>
      <c r="G450">
        <v>4100</v>
      </c>
      <c r="H450">
        <v>73.260999999999996</v>
      </c>
      <c r="I450">
        <v>-300370.09999999998</v>
      </c>
      <c r="K450">
        <v>73.260999999999996</v>
      </c>
      <c r="L450">
        <v>-300370.09999999998</v>
      </c>
      <c r="M450" t="s">
        <v>537</v>
      </c>
      <c r="N450" t="s">
        <v>536</v>
      </c>
    </row>
    <row r="451" spans="1:14" x14ac:dyDescent="0.25">
      <c r="A451" s="18">
        <v>45910</v>
      </c>
      <c r="B451" t="s">
        <v>319</v>
      </c>
      <c r="C451" t="s">
        <v>325</v>
      </c>
      <c r="D451" t="s">
        <v>47</v>
      </c>
      <c r="E451" t="s">
        <v>48</v>
      </c>
      <c r="F451" t="s">
        <v>36</v>
      </c>
      <c r="G451">
        <v>-2118</v>
      </c>
      <c r="H451">
        <v>81.820400000000006</v>
      </c>
      <c r="I451">
        <v>173295.60720000003</v>
      </c>
      <c r="K451">
        <v>81.820400000000006</v>
      </c>
      <c r="L451">
        <v>173295.60720000003</v>
      </c>
      <c r="M451" t="s">
        <v>47</v>
      </c>
      <c r="N451" t="s">
        <v>325</v>
      </c>
    </row>
    <row r="452" spans="1:14" x14ac:dyDescent="0.25">
      <c r="A452" s="18">
        <v>45910</v>
      </c>
      <c r="B452" t="s">
        <v>289</v>
      </c>
      <c r="C452" t="s">
        <v>452</v>
      </c>
      <c r="D452" t="s">
        <v>453</v>
      </c>
      <c r="E452" t="s">
        <v>454</v>
      </c>
      <c r="F452" t="s">
        <v>162</v>
      </c>
      <c r="G452">
        <v>3485</v>
      </c>
      <c r="H452">
        <v>157.69999999999999</v>
      </c>
      <c r="I452">
        <v>-549584.5</v>
      </c>
      <c r="K452">
        <v>157.69999999999999</v>
      </c>
      <c r="L452">
        <v>-549584.5</v>
      </c>
      <c r="M452" t="s">
        <v>453</v>
      </c>
      <c r="N452" t="s">
        <v>452</v>
      </c>
    </row>
    <row r="453" spans="1:14" x14ac:dyDescent="0.25">
      <c r="A453" s="18">
        <v>45910</v>
      </c>
      <c r="B453" t="s">
        <v>289</v>
      </c>
      <c r="C453" t="s">
        <v>331</v>
      </c>
      <c r="D453" t="s">
        <v>332</v>
      </c>
      <c r="E453" t="s">
        <v>333</v>
      </c>
      <c r="F453" t="s">
        <v>21</v>
      </c>
      <c r="G453">
        <v>72</v>
      </c>
      <c r="H453">
        <v>1384.6125</v>
      </c>
      <c r="I453">
        <v>-99692.099999999991</v>
      </c>
      <c r="K453">
        <v>1384.6125</v>
      </c>
      <c r="L453">
        <v>-99692.099999999991</v>
      </c>
      <c r="M453" t="s">
        <v>332</v>
      </c>
      <c r="N453" t="s">
        <v>331</v>
      </c>
    </row>
    <row r="454" spans="1:14" x14ac:dyDescent="0.25">
      <c r="A454" s="18">
        <v>45911</v>
      </c>
      <c r="B454" t="s">
        <v>289</v>
      </c>
      <c r="C454" t="s">
        <v>539</v>
      </c>
      <c r="D454" t="s">
        <v>540</v>
      </c>
      <c r="E454" t="s">
        <v>541</v>
      </c>
      <c r="F454" t="s">
        <v>21</v>
      </c>
      <c r="G454">
        <v>1818</v>
      </c>
      <c r="H454">
        <v>82.49</v>
      </c>
      <c r="I454">
        <v>-149966.81999999998</v>
      </c>
      <c r="K454">
        <v>82.49</v>
      </c>
      <c r="L454">
        <v>-149966.81999999998</v>
      </c>
      <c r="M454" t="s">
        <v>540</v>
      </c>
      <c r="N454" t="s">
        <v>539</v>
      </c>
    </row>
    <row r="455" spans="1:14" x14ac:dyDescent="0.25">
      <c r="A455" s="18">
        <v>45911</v>
      </c>
      <c r="B455" t="s">
        <v>289</v>
      </c>
      <c r="C455" t="s">
        <v>438</v>
      </c>
      <c r="D455" t="s">
        <v>439</v>
      </c>
      <c r="E455" t="s">
        <v>440</v>
      </c>
      <c r="F455" t="s">
        <v>137</v>
      </c>
      <c r="G455">
        <v>2</v>
      </c>
      <c r="H455">
        <v>172.755</v>
      </c>
      <c r="I455">
        <v>-43188750</v>
      </c>
      <c r="K455">
        <v>172.755</v>
      </c>
      <c r="L455">
        <v>-43188750</v>
      </c>
      <c r="M455" t="s">
        <v>439</v>
      </c>
      <c r="N455" t="s">
        <v>438</v>
      </c>
    </row>
    <row r="456" spans="1:14" x14ac:dyDescent="0.25">
      <c r="A456" s="18">
        <v>45911</v>
      </c>
      <c r="B456" t="s">
        <v>319</v>
      </c>
      <c r="C456" t="s">
        <v>542</v>
      </c>
      <c r="D456" t="s">
        <v>543</v>
      </c>
      <c r="E456" t="s">
        <v>544</v>
      </c>
      <c r="F456" t="s">
        <v>137</v>
      </c>
      <c r="G456">
        <v>-2</v>
      </c>
      <c r="H456">
        <v>172.05</v>
      </c>
      <c r="I456">
        <v>43012500</v>
      </c>
      <c r="K456">
        <v>172.05</v>
      </c>
      <c r="L456">
        <v>43012500</v>
      </c>
      <c r="M456" t="s">
        <v>543</v>
      </c>
      <c r="N456" t="s">
        <v>542</v>
      </c>
    </row>
    <row r="457" spans="1:14" x14ac:dyDescent="0.25">
      <c r="A457" s="18">
        <v>45912</v>
      </c>
      <c r="B457" t="s">
        <v>289</v>
      </c>
      <c r="C457" t="s">
        <v>484</v>
      </c>
      <c r="D457" t="s">
        <v>30</v>
      </c>
      <c r="E457" t="s">
        <v>31</v>
      </c>
      <c r="F457" t="s">
        <v>21</v>
      </c>
      <c r="G457">
        <v>341</v>
      </c>
      <c r="H457">
        <v>146.79849999999999</v>
      </c>
      <c r="I457">
        <v>-50058.288499999995</v>
      </c>
      <c r="K457">
        <v>146.79849999999999</v>
      </c>
      <c r="L457">
        <v>-50058.288499999995</v>
      </c>
      <c r="M457" t="s">
        <v>30</v>
      </c>
      <c r="N457" t="s">
        <v>484</v>
      </c>
    </row>
    <row r="458" spans="1:14" x14ac:dyDescent="0.25">
      <c r="A458" s="18">
        <v>45912</v>
      </c>
      <c r="B458" t="s">
        <v>289</v>
      </c>
      <c r="C458" t="s">
        <v>311</v>
      </c>
      <c r="D458" t="s">
        <v>312</v>
      </c>
      <c r="E458" t="s">
        <v>313</v>
      </c>
      <c r="F458" t="s">
        <v>21</v>
      </c>
      <c r="G458">
        <v>350</v>
      </c>
      <c r="H458">
        <v>285.75</v>
      </c>
      <c r="I458">
        <v>-100012.5</v>
      </c>
      <c r="K458">
        <v>285.75</v>
      </c>
      <c r="L458">
        <v>-100012.5</v>
      </c>
      <c r="M458" t="s">
        <v>312</v>
      </c>
      <c r="N458" t="s">
        <v>311</v>
      </c>
    </row>
    <row r="459" spans="1:14" x14ac:dyDescent="0.25">
      <c r="A459" s="18">
        <v>45912</v>
      </c>
      <c r="B459" t="s">
        <v>289</v>
      </c>
      <c r="C459" t="s">
        <v>536</v>
      </c>
      <c r="D459" t="s">
        <v>537</v>
      </c>
      <c r="E459" t="s">
        <v>538</v>
      </c>
      <c r="F459" t="s">
        <v>21</v>
      </c>
      <c r="G459">
        <v>1345</v>
      </c>
      <c r="H459">
        <v>74.397400000000005</v>
      </c>
      <c r="I459">
        <v>-100064.50300000001</v>
      </c>
      <c r="K459">
        <v>74.397400000000005</v>
      </c>
      <c r="L459">
        <v>-100064.50300000001</v>
      </c>
      <c r="M459" t="s">
        <v>537</v>
      </c>
      <c r="N459" t="s">
        <v>536</v>
      </c>
    </row>
    <row r="460" spans="1:14" x14ac:dyDescent="0.25">
      <c r="A460" s="18">
        <v>45912</v>
      </c>
      <c r="B460" t="s">
        <v>319</v>
      </c>
      <c r="C460" t="s">
        <v>506</v>
      </c>
      <c r="D460" t="s">
        <v>507</v>
      </c>
      <c r="E460" t="s">
        <v>508</v>
      </c>
      <c r="F460" t="s">
        <v>21</v>
      </c>
      <c r="G460">
        <v>-3166</v>
      </c>
      <c r="H460">
        <v>31.605</v>
      </c>
      <c r="I460">
        <v>100061.43000000001</v>
      </c>
      <c r="K460">
        <v>31.605000000000004</v>
      </c>
      <c r="L460">
        <v>100061.43000000001</v>
      </c>
      <c r="M460" t="s">
        <v>507</v>
      </c>
      <c r="N460" t="s">
        <v>506</v>
      </c>
    </row>
    <row r="461" spans="1:14" x14ac:dyDescent="0.25">
      <c r="A461" s="18">
        <v>45912</v>
      </c>
      <c r="B461" t="s">
        <v>319</v>
      </c>
      <c r="C461" t="s">
        <v>435</v>
      </c>
      <c r="D461" t="s">
        <v>99</v>
      </c>
      <c r="E461" t="s">
        <v>100</v>
      </c>
      <c r="F461" t="s">
        <v>21</v>
      </c>
      <c r="G461">
        <v>-11820</v>
      </c>
      <c r="H461">
        <v>8.4689999999999994</v>
      </c>
      <c r="I461">
        <v>100103.57999999999</v>
      </c>
      <c r="K461">
        <v>8.4689999999999994</v>
      </c>
      <c r="L461">
        <v>100103.57999999999</v>
      </c>
      <c r="M461" t="s">
        <v>99</v>
      </c>
      <c r="N461" t="s">
        <v>435</v>
      </c>
    </row>
    <row r="462" spans="1:14" x14ac:dyDescent="0.25">
      <c r="A462" s="18">
        <v>45912</v>
      </c>
      <c r="B462" t="s">
        <v>319</v>
      </c>
      <c r="C462" t="s">
        <v>485</v>
      </c>
      <c r="D462" t="s">
        <v>95</v>
      </c>
      <c r="E462" t="s">
        <v>96</v>
      </c>
      <c r="F462" t="s">
        <v>21</v>
      </c>
      <c r="G462">
        <v>-8187</v>
      </c>
      <c r="H462">
        <v>24.758400000000002</v>
      </c>
      <c r="I462">
        <v>202697.02080000003</v>
      </c>
      <c r="K462">
        <v>24.758400000000002</v>
      </c>
      <c r="L462">
        <v>202697.02080000003</v>
      </c>
      <c r="M462" t="s">
        <v>95</v>
      </c>
      <c r="N462" t="s">
        <v>485</v>
      </c>
    </row>
    <row r="463" spans="1:14" x14ac:dyDescent="0.25">
      <c r="A463" s="18">
        <v>45912</v>
      </c>
      <c r="B463" t="s">
        <v>319</v>
      </c>
      <c r="C463" t="s">
        <v>485</v>
      </c>
      <c r="D463" t="s">
        <v>95</v>
      </c>
      <c r="E463" t="s">
        <v>96</v>
      </c>
      <c r="F463" t="s">
        <v>21</v>
      </c>
      <c r="G463">
        <v>-4022</v>
      </c>
      <c r="H463">
        <v>24.85</v>
      </c>
      <c r="I463">
        <v>99946.700000000012</v>
      </c>
      <c r="K463">
        <v>24.85</v>
      </c>
      <c r="L463">
        <v>99946.700000000012</v>
      </c>
      <c r="M463" t="s">
        <v>95</v>
      </c>
      <c r="N463" t="s">
        <v>485</v>
      </c>
    </row>
    <row r="464" spans="1:14" x14ac:dyDescent="0.25">
      <c r="A464" s="18">
        <v>45915</v>
      </c>
      <c r="B464" t="s">
        <v>289</v>
      </c>
      <c r="C464" t="s">
        <v>290</v>
      </c>
      <c r="D464" t="s">
        <v>45</v>
      </c>
      <c r="E464" t="s">
        <v>46</v>
      </c>
      <c r="F464" t="s">
        <v>21</v>
      </c>
      <c r="G464">
        <v>1521</v>
      </c>
      <c r="H464">
        <v>49.32</v>
      </c>
      <c r="I464">
        <v>-75015.72</v>
      </c>
      <c r="K464">
        <v>49.32</v>
      </c>
      <c r="L464">
        <v>-75015.72</v>
      </c>
      <c r="M464" t="s">
        <v>45</v>
      </c>
      <c r="N464" t="s">
        <v>290</v>
      </c>
    </row>
    <row r="465" spans="1:14" x14ac:dyDescent="0.25">
      <c r="A465" s="18">
        <v>45915</v>
      </c>
      <c r="B465" t="s">
        <v>289</v>
      </c>
      <c r="C465" t="s">
        <v>294</v>
      </c>
      <c r="D465" t="s">
        <v>80</v>
      </c>
      <c r="E465" t="s">
        <v>505</v>
      </c>
      <c r="F465" t="s">
        <v>82</v>
      </c>
      <c r="G465">
        <v>681</v>
      </c>
      <c r="H465">
        <v>68.583600000000004</v>
      </c>
      <c r="I465">
        <v>-46705.431600000004</v>
      </c>
      <c r="K465">
        <v>68.583600000000004</v>
      </c>
      <c r="L465">
        <v>-46705.431600000004</v>
      </c>
      <c r="M465" t="s">
        <v>80</v>
      </c>
      <c r="N465" t="s">
        <v>294</v>
      </c>
    </row>
    <row r="466" spans="1:14" x14ac:dyDescent="0.25">
      <c r="A466" s="18">
        <v>45915</v>
      </c>
      <c r="B466" t="s">
        <v>289</v>
      </c>
      <c r="C466" t="s">
        <v>318</v>
      </c>
      <c r="D466" t="s">
        <v>22</v>
      </c>
      <c r="E466" t="s">
        <v>23</v>
      </c>
      <c r="F466" t="s">
        <v>21</v>
      </c>
      <c r="G466">
        <v>3313</v>
      </c>
      <c r="H466">
        <v>22.709199999999999</v>
      </c>
      <c r="I466">
        <v>-75235.579599999997</v>
      </c>
      <c r="K466">
        <v>22.709199999999999</v>
      </c>
      <c r="L466">
        <v>-75235.579599999997</v>
      </c>
      <c r="M466" t="s">
        <v>22</v>
      </c>
      <c r="N466" t="s">
        <v>318</v>
      </c>
    </row>
    <row r="467" spans="1:14" x14ac:dyDescent="0.25">
      <c r="A467" s="18">
        <v>45915</v>
      </c>
      <c r="B467" t="s">
        <v>289</v>
      </c>
      <c r="C467" t="s">
        <v>545</v>
      </c>
      <c r="D467" t="s">
        <v>546</v>
      </c>
      <c r="E467" t="s">
        <v>547</v>
      </c>
      <c r="F467" t="s">
        <v>21</v>
      </c>
      <c r="G467">
        <v>883</v>
      </c>
      <c r="H467">
        <v>113.15</v>
      </c>
      <c r="I467">
        <v>-99911.450000000012</v>
      </c>
      <c r="K467">
        <v>113.15000000000002</v>
      </c>
      <c r="L467">
        <v>-99911.450000000012</v>
      </c>
      <c r="M467" t="s">
        <v>546</v>
      </c>
      <c r="N467" t="s">
        <v>545</v>
      </c>
    </row>
    <row r="468" spans="1:14" x14ac:dyDescent="0.25">
      <c r="A468" s="18">
        <v>45915</v>
      </c>
      <c r="B468" t="s">
        <v>289</v>
      </c>
      <c r="C468" t="s">
        <v>548</v>
      </c>
      <c r="D468" t="s">
        <v>549</v>
      </c>
      <c r="E468" t="s">
        <v>550</v>
      </c>
      <c r="F468" t="s">
        <v>21</v>
      </c>
      <c r="G468">
        <v>16915</v>
      </c>
      <c r="H468">
        <v>4.4420000000000002</v>
      </c>
      <c r="I468">
        <v>-75136.430000000008</v>
      </c>
      <c r="K468">
        <v>4.4420000000000002</v>
      </c>
      <c r="L468">
        <v>-75136.430000000008</v>
      </c>
      <c r="M468" t="s">
        <v>549</v>
      </c>
      <c r="N468" t="s">
        <v>548</v>
      </c>
    </row>
    <row r="469" spans="1:14" x14ac:dyDescent="0.25">
      <c r="A469" s="18">
        <v>45915</v>
      </c>
      <c r="B469" t="s">
        <v>289</v>
      </c>
      <c r="C469" t="s">
        <v>548</v>
      </c>
      <c r="D469" t="s">
        <v>549</v>
      </c>
      <c r="E469" t="s">
        <v>550</v>
      </c>
      <c r="F469" t="s">
        <v>21</v>
      </c>
      <c r="G469">
        <v>5712</v>
      </c>
      <c r="H469">
        <v>4.3811999999999998</v>
      </c>
      <c r="I469">
        <v>-25025.414399999998</v>
      </c>
      <c r="K469">
        <v>4.3811999999999998</v>
      </c>
      <c r="L469">
        <v>-25025.414399999998</v>
      </c>
      <c r="M469" t="s">
        <v>549</v>
      </c>
      <c r="N469" t="s">
        <v>548</v>
      </c>
    </row>
    <row r="470" spans="1:14" x14ac:dyDescent="0.25">
      <c r="A470" s="18">
        <v>45915</v>
      </c>
      <c r="B470" t="s">
        <v>289</v>
      </c>
      <c r="C470" t="s">
        <v>446</v>
      </c>
      <c r="D470" t="s">
        <v>447</v>
      </c>
      <c r="E470" t="s">
        <v>495</v>
      </c>
      <c r="F470" t="s">
        <v>21</v>
      </c>
      <c r="G470">
        <v>3</v>
      </c>
      <c r="H470">
        <v>7931.5</v>
      </c>
      <c r="I470">
        <v>-237945</v>
      </c>
      <c r="K470">
        <v>7931.5</v>
      </c>
      <c r="L470">
        <v>-237945</v>
      </c>
      <c r="M470" t="s">
        <v>447</v>
      </c>
      <c r="N470" t="s">
        <v>446</v>
      </c>
    </row>
    <row r="471" spans="1:14" x14ac:dyDescent="0.25">
      <c r="A471" s="18">
        <v>45915</v>
      </c>
      <c r="B471" t="s">
        <v>289</v>
      </c>
      <c r="C471" t="s">
        <v>551</v>
      </c>
      <c r="D471" t="s">
        <v>552</v>
      </c>
      <c r="E471" t="s">
        <v>553</v>
      </c>
      <c r="F471" t="s">
        <v>21</v>
      </c>
      <c r="G471">
        <v>2734</v>
      </c>
      <c r="H471">
        <v>43.96</v>
      </c>
      <c r="I471">
        <v>-120186.64</v>
      </c>
      <c r="K471">
        <v>43.96</v>
      </c>
      <c r="L471">
        <v>-120186.64</v>
      </c>
      <c r="M471" t="s">
        <v>552</v>
      </c>
      <c r="N471" t="s">
        <v>551</v>
      </c>
    </row>
    <row r="472" spans="1:14" x14ac:dyDescent="0.25">
      <c r="A472" s="18">
        <v>45915</v>
      </c>
      <c r="B472" t="s">
        <v>319</v>
      </c>
      <c r="C472" t="s">
        <v>452</v>
      </c>
      <c r="D472" t="s">
        <v>453</v>
      </c>
      <c r="E472" t="s">
        <v>454</v>
      </c>
      <c r="F472" t="s">
        <v>162</v>
      </c>
      <c r="G472">
        <v>-6987</v>
      </c>
      <c r="H472">
        <v>156.71250000000001</v>
      </c>
      <c r="I472">
        <v>1094950.2375</v>
      </c>
      <c r="K472">
        <v>156.71250000000001</v>
      </c>
      <c r="L472">
        <v>1094950.2375</v>
      </c>
      <c r="M472" t="s">
        <v>453</v>
      </c>
      <c r="N472" t="s">
        <v>452</v>
      </c>
    </row>
    <row r="473" spans="1:14" x14ac:dyDescent="0.25">
      <c r="A473" s="18">
        <v>45915</v>
      </c>
      <c r="B473" t="s">
        <v>289</v>
      </c>
      <c r="C473" t="s">
        <v>331</v>
      </c>
      <c r="D473" t="s">
        <v>332</v>
      </c>
      <c r="E473" t="s">
        <v>333</v>
      </c>
      <c r="F473" t="s">
        <v>21</v>
      </c>
      <c r="G473">
        <v>55</v>
      </c>
      <c r="H473">
        <v>1361.3</v>
      </c>
      <c r="I473">
        <v>-74871.5</v>
      </c>
      <c r="K473">
        <v>1361.3</v>
      </c>
      <c r="L473">
        <v>-74871.5</v>
      </c>
      <c r="M473" t="s">
        <v>332</v>
      </c>
      <c r="N473" t="s">
        <v>331</v>
      </c>
    </row>
    <row r="474" spans="1:14" x14ac:dyDescent="0.25">
      <c r="A474" s="18">
        <v>45915</v>
      </c>
      <c r="B474" t="s">
        <v>319</v>
      </c>
      <c r="C474" t="s">
        <v>311</v>
      </c>
      <c r="D474" t="s">
        <v>312</v>
      </c>
      <c r="E474" t="s">
        <v>313</v>
      </c>
      <c r="F474" t="s">
        <v>21</v>
      </c>
      <c r="G474">
        <v>-347</v>
      </c>
      <c r="H474">
        <v>288.34089999999998</v>
      </c>
      <c r="I474">
        <v>100054.29229999999</v>
      </c>
      <c r="K474">
        <v>288.34089999999998</v>
      </c>
      <c r="L474">
        <v>100054.29229999999</v>
      </c>
      <c r="M474" t="s">
        <v>312</v>
      </c>
      <c r="N474" t="s">
        <v>311</v>
      </c>
    </row>
    <row r="475" spans="1:14" x14ac:dyDescent="0.25">
      <c r="A475" s="18">
        <v>45916</v>
      </c>
      <c r="B475" t="s">
        <v>319</v>
      </c>
      <c r="C475" t="s">
        <v>477</v>
      </c>
      <c r="D475" t="s">
        <v>478</v>
      </c>
      <c r="E475" t="s">
        <v>277</v>
      </c>
      <c r="F475" t="s">
        <v>157</v>
      </c>
      <c r="G475">
        <v>-6375</v>
      </c>
      <c r="H475">
        <v>116.35</v>
      </c>
      <c r="I475">
        <v>741731.25</v>
      </c>
      <c r="K475">
        <v>116.35</v>
      </c>
      <c r="L475">
        <v>741731.25</v>
      </c>
      <c r="M475" t="s">
        <v>478</v>
      </c>
      <c r="N475" t="s">
        <v>477</v>
      </c>
    </row>
    <row r="476" spans="1:14" x14ac:dyDescent="0.25">
      <c r="A476" s="18">
        <v>45916</v>
      </c>
      <c r="B476" t="s">
        <v>289</v>
      </c>
      <c r="C476" t="s">
        <v>515</v>
      </c>
      <c r="D476" t="s">
        <v>516</v>
      </c>
      <c r="E476" t="s">
        <v>517</v>
      </c>
      <c r="F476" t="s">
        <v>49</v>
      </c>
      <c r="G476">
        <v>2</v>
      </c>
      <c r="H476">
        <v>113.515625</v>
      </c>
      <c r="I476">
        <v>-227031.25</v>
      </c>
      <c r="K476">
        <v>113.515625</v>
      </c>
      <c r="L476">
        <v>-227031.25</v>
      </c>
      <c r="M476" t="s">
        <v>516</v>
      </c>
      <c r="N476" t="s">
        <v>515</v>
      </c>
    </row>
    <row r="477" spans="1:14" x14ac:dyDescent="0.25">
      <c r="A477" s="18">
        <v>45916</v>
      </c>
      <c r="B477" t="s">
        <v>319</v>
      </c>
      <c r="C477" t="s">
        <v>554</v>
      </c>
      <c r="D477" t="s">
        <v>555</v>
      </c>
      <c r="E477" t="s">
        <v>556</v>
      </c>
      <c r="F477" t="s">
        <v>49</v>
      </c>
      <c r="G477">
        <v>-1</v>
      </c>
      <c r="H477">
        <v>6686</v>
      </c>
      <c r="I477">
        <v>334300</v>
      </c>
      <c r="K477">
        <v>6686</v>
      </c>
      <c r="L477">
        <v>334300</v>
      </c>
      <c r="M477" t="s">
        <v>555</v>
      </c>
      <c r="N477" t="s">
        <v>554</v>
      </c>
    </row>
    <row r="478" spans="1:14" x14ac:dyDescent="0.25">
      <c r="A478" s="18">
        <v>45916</v>
      </c>
      <c r="B478" t="s">
        <v>319</v>
      </c>
      <c r="C478" t="s">
        <v>554</v>
      </c>
      <c r="D478" t="s">
        <v>555</v>
      </c>
      <c r="E478" t="s">
        <v>556</v>
      </c>
      <c r="F478" t="s">
        <v>49</v>
      </c>
      <c r="G478">
        <v>-1</v>
      </c>
      <c r="H478">
        <v>6677.25</v>
      </c>
      <c r="I478">
        <v>333862.5</v>
      </c>
      <c r="K478">
        <v>6677.25</v>
      </c>
      <c r="L478">
        <v>333862.5</v>
      </c>
      <c r="M478" t="s">
        <v>555</v>
      </c>
      <c r="N478" t="s">
        <v>554</v>
      </c>
    </row>
    <row r="479" spans="1:14" x14ac:dyDescent="0.25">
      <c r="A479" s="18">
        <v>45916</v>
      </c>
      <c r="B479" t="s">
        <v>319</v>
      </c>
      <c r="C479" t="s">
        <v>468</v>
      </c>
      <c r="D479" t="s">
        <v>469</v>
      </c>
      <c r="E479" t="s">
        <v>470</v>
      </c>
      <c r="F479" t="s">
        <v>49</v>
      </c>
      <c r="G479">
        <v>-1130</v>
      </c>
      <c r="H479">
        <v>115.11</v>
      </c>
      <c r="I479">
        <v>130074.3</v>
      </c>
      <c r="K479">
        <v>115.11</v>
      </c>
      <c r="L479">
        <v>130074.3</v>
      </c>
      <c r="M479" t="s">
        <v>469</v>
      </c>
      <c r="N479" t="s">
        <v>468</v>
      </c>
    </row>
    <row r="480" spans="1:14" x14ac:dyDescent="0.25">
      <c r="A480" s="18">
        <v>45916</v>
      </c>
      <c r="B480" t="s">
        <v>319</v>
      </c>
      <c r="C480" t="s">
        <v>557</v>
      </c>
      <c r="D480" t="s">
        <v>558</v>
      </c>
      <c r="E480" t="s">
        <v>559</v>
      </c>
      <c r="F480" t="s">
        <v>21</v>
      </c>
      <c r="G480">
        <v>-5</v>
      </c>
      <c r="H480">
        <v>5425</v>
      </c>
      <c r="I480">
        <v>271250</v>
      </c>
      <c r="K480">
        <v>5425</v>
      </c>
      <c r="L480">
        <v>271250</v>
      </c>
      <c r="M480" t="s">
        <v>558</v>
      </c>
      <c r="N480" t="s">
        <v>557</v>
      </c>
    </row>
    <row r="481" spans="1:14" x14ac:dyDescent="0.25">
      <c r="A481" s="18">
        <v>45916</v>
      </c>
      <c r="B481" t="s">
        <v>289</v>
      </c>
      <c r="C481" t="s">
        <v>545</v>
      </c>
      <c r="D481" t="s">
        <v>546</v>
      </c>
      <c r="E481" t="s">
        <v>547</v>
      </c>
      <c r="F481" t="s">
        <v>21</v>
      </c>
      <c r="G481">
        <v>452</v>
      </c>
      <c r="H481">
        <v>110.7257</v>
      </c>
      <c r="I481">
        <v>-50048.0164</v>
      </c>
      <c r="K481">
        <v>110.7257</v>
      </c>
      <c r="L481">
        <v>-50048.0164</v>
      </c>
      <c r="M481" t="s">
        <v>546</v>
      </c>
      <c r="N481" t="s">
        <v>545</v>
      </c>
    </row>
    <row r="482" spans="1:14" x14ac:dyDescent="0.25">
      <c r="A482" s="18">
        <v>45916</v>
      </c>
      <c r="B482" t="s">
        <v>289</v>
      </c>
      <c r="C482" t="s">
        <v>506</v>
      </c>
      <c r="D482" t="s">
        <v>507</v>
      </c>
      <c r="E482" t="s">
        <v>508</v>
      </c>
      <c r="F482" t="s">
        <v>21</v>
      </c>
      <c r="G482">
        <v>3197</v>
      </c>
      <c r="H482">
        <v>31.2895</v>
      </c>
      <c r="I482">
        <v>-100032.5315</v>
      </c>
      <c r="K482">
        <v>31.2895</v>
      </c>
      <c r="L482">
        <v>-100032.5315</v>
      </c>
      <c r="M482" t="s">
        <v>507</v>
      </c>
      <c r="N482" t="s">
        <v>506</v>
      </c>
    </row>
    <row r="483" spans="1:14" x14ac:dyDescent="0.25">
      <c r="A483" s="18">
        <v>45916</v>
      </c>
      <c r="B483" t="s">
        <v>289</v>
      </c>
      <c r="C483" t="s">
        <v>446</v>
      </c>
      <c r="D483" t="s">
        <v>447</v>
      </c>
      <c r="E483" t="s">
        <v>495</v>
      </c>
      <c r="F483" t="s">
        <v>21</v>
      </c>
      <c r="G483">
        <v>3</v>
      </c>
      <c r="H483">
        <v>7870</v>
      </c>
      <c r="I483">
        <v>-236100</v>
      </c>
      <c r="K483">
        <v>7870</v>
      </c>
      <c r="L483">
        <v>-236100</v>
      </c>
      <c r="M483" t="s">
        <v>447</v>
      </c>
      <c r="N483" t="s">
        <v>446</v>
      </c>
    </row>
    <row r="484" spans="1:14" x14ac:dyDescent="0.25">
      <c r="A484" s="18">
        <v>45916</v>
      </c>
      <c r="B484" t="s">
        <v>319</v>
      </c>
      <c r="C484" t="s">
        <v>435</v>
      </c>
      <c r="D484" t="s">
        <v>99</v>
      </c>
      <c r="E484" t="s">
        <v>100</v>
      </c>
      <c r="F484" t="s">
        <v>21</v>
      </c>
      <c r="G484">
        <v>-16451</v>
      </c>
      <c r="H484">
        <v>8.5169999999999995</v>
      </c>
      <c r="I484">
        <v>140113.16699999999</v>
      </c>
      <c r="K484">
        <v>8.5169999999999995</v>
      </c>
      <c r="L484">
        <v>140113.16699999999</v>
      </c>
      <c r="M484" t="s">
        <v>99</v>
      </c>
      <c r="N484" t="s">
        <v>435</v>
      </c>
    </row>
    <row r="485" spans="1:14" x14ac:dyDescent="0.25">
      <c r="A485" s="18">
        <v>45916</v>
      </c>
      <c r="B485" t="s">
        <v>319</v>
      </c>
      <c r="C485" t="s">
        <v>485</v>
      </c>
      <c r="D485" t="s">
        <v>95</v>
      </c>
      <c r="E485" t="s">
        <v>96</v>
      </c>
      <c r="F485" t="s">
        <v>21</v>
      </c>
      <c r="G485">
        <v>-3144</v>
      </c>
      <c r="H485">
        <v>24.6</v>
      </c>
      <c r="I485">
        <v>77342.400000000009</v>
      </c>
      <c r="K485">
        <v>24.6</v>
      </c>
      <c r="L485">
        <v>77342.400000000009</v>
      </c>
      <c r="M485" t="s">
        <v>95</v>
      </c>
      <c r="N485" t="s">
        <v>485</v>
      </c>
    </row>
    <row r="486" spans="1:14" x14ac:dyDescent="0.25">
      <c r="A486" s="18">
        <v>45917</v>
      </c>
      <c r="B486" t="s">
        <v>289</v>
      </c>
      <c r="C486" t="s">
        <v>496</v>
      </c>
      <c r="D486" t="s">
        <v>497</v>
      </c>
      <c r="E486" t="s">
        <v>498</v>
      </c>
      <c r="F486" t="s">
        <v>49</v>
      </c>
      <c r="G486">
        <v>4</v>
      </c>
      <c r="H486">
        <v>2403.1999999999998</v>
      </c>
      <c r="I486">
        <v>-480639.99999999994</v>
      </c>
      <c r="K486">
        <v>2403.1999999999998</v>
      </c>
      <c r="L486">
        <v>-480639.99999999994</v>
      </c>
      <c r="M486" t="s">
        <v>497</v>
      </c>
      <c r="N486" t="s">
        <v>496</v>
      </c>
    </row>
    <row r="487" spans="1:14" x14ac:dyDescent="0.25">
      <c r="A487" s="18">
        <v>45917</v>
      </c>
      <c r="B487" t="s">
        <v>319</v>
      </c>
      <c r="C487" t="s">
        <v>560</v>
      </c>
      <c r="D487" t="s">
        <v>561</v>
      </c>
      <c r="E487" t="s">
        <v>562</v>
      </c>
      <c r="F487" t="s">
        <v>49</v>
      </c>
      <c r="G487">
        <v>-4</v>
      </c>
      <c r="H487">
        <v>2420.6</v>
      </c>
      <c r="I487">
        <v>484120</v>
      </c>
      <c r="K487">
        <v>2420.6</v>
      </c>
      <c r="L487">
        <v>484120</v>
      </c>
      <c r="M487" t="s">
        <v>561</v>
      </c>
      <c r="N487" t="s">
        <v>560</v>
      </c>
    </row>
    <row r="488" spans="1:14" x14ac:dyDescent="0.25">
      <c r="A488" s="18">
        <v>45917</v>
      </c>
      <c r="B488" t="s">
        <v>289</v>
      </c>
      <c r="C488" t="s">
        <v>443</v>
      </c>
      <c r="D488" t="s">
        <v>444</v>
      </c>
      <c r="E488" t="s">
        <v>445</v>
      </c>
      <c r="F488" t="s">
        <v>21</v>
      </c>
      <c r="G488">
        <v>1</v>
      </c>
      <c r="H488">
        <v>23389.5</v>
      </c>
      <c r="I488">
        <v>-116947.5</v>
      </c>
      <c r="K488">
        <v>23389.5</v>
      </c>
      <c r="L488">
        <v>-116947.5</v>
      </c>
      <c r="M488" t="s">
        <v>444</v>
      </c>
      <c r="N488" t="s">
        <v>443</v>
      </c>
    </row>
    <row r="489" spans="1:14" x14ac:dyDescent="0.25">
      <c r="A489" s="18">
        <v>45917</v>
      </c>
      <c r="B489" t="s">
        <v>319</v>
      </c>
      <c r="C489" t="s">
        <v>563</v>
      </c>
      <c r="D489" t="s">
        <v>564</v>
      </c>
      <c r="E489" t="s">
        <v>565</v>
      </c>
      <c r="F489" t="s">
        <v>21</v>
      </c>
      <c r="G489">
        <v>-1</v>
      </c>
      <c r="H489">
        <v>23522</v>
      </c>
      <c r="I489">
        <v>117610</v>
      </c>
      <c r="K489">
        <v>23522</v>
      </c>
      <c r="L489">
        <v>117610</v>
      </c>
      <c r="M489" t="s">
        <v>564</v>
      </c>
      <c r="N489" t="s">
        <v>563</v>
      </c>
    </row>
    <row r="490" spans="1:14" x14ac:dyDescent="0.25">
      <c r="A490" s="18">
        <v>45917</v>
      </c>
      <c r="B490" t="s">
        <v>289</v>
      </c>
      <c r="C490" t="s">
        <v>446</v>
      </c>
      <c r="D490" t="s">
        <v>447</v>
      </c>
      <c r="E490" t="s">
        <v>495</v>
      </c>
      <c r="F490" t="s">
        <v>21</v>
      </c>
      <c r="G490">
        <v>14</v>
      </c>
      <c r="H490">
        <v>7795</v>
      </c>
      <c r="I490">
        <v>-1091300</v>
      </c>
      <c r="K490">
        <v>7795</v>
      </c>
      <c r="L490">
        <v>-1091300</v>
      </c>
      <c r="M490" t="s">
        <v>447</v>
      </c>
      <c r="N490" t="s">
        <v>446</v>
      </c>
    </row>
    <row r="491" spans="1:14" x14ac:dyDescent="0.25">
      <c r="A491" s="18">
        <v>45917</v>
      </c>
      <c r="B491" t="s">
        <v>319</v>
      </c>
      <c r="C491" t="s">
        <v>566</v>
      </c>
      <c r="D491" t="s">
        <v>567</v>
      </c>
      <c r="E491" t="s">
        <v>568</v>
      </c>
      <c r="F491" t="s">
        <v>21</v>
      </c>
      <c r="G491">
        <v>-14</v>
      </c>
      <c r="H491">
        <v>7787</v>
      </c>
      <c r="I491">
        <v>1090180</v>
      </c>
      <c r="K491">
        <v>7787</v>
      </c>
      <c r="L491">
        <v>1090180</v>
      </c>
      <c r="M491" t="s">
        <v>567</v>
      </c>
      <c r="N491" t="s">
        <v>566</v>
      </c>
    </row>
    <row r="492" spans="1:14" x14ac:dyDescent="0.25">
      <c r="A492" s="18">
        <v>45918</v>
      </c>
      <c r="B492" t="s">
        <v>289</v>
      </c>
      <c r="C492" t="s">
        <v>569</v>
      </c>
      <c r="D492" t="s">
        <v>570</v>
      </c>
      <c r="E492" t="s">
        <v>571</v>
      </c>
      <c r="F492" t="s">
        <v>49</v>
      </c>
      <c r="G492">
        <v>6286</v>
      </c>
      <c r="H492">
        <v>18.860800000000001</v>
      </c>
      <c r="I492">
        <v>-118558.98880000001</v>
      </c>
      <c r="K492">
        <v>18.860800000000001</v>
      </c>
      <c r="L492">
        <v>-118558.98880000001</v>
      </c>
      <c r="M492" t="s">
        <v>570</v>
      </c>
      <c r="N492" t="s">
        <v>569</v>
      </c>
    </row>
    <row r="493" spans="1:14" x14ac:dyDescent="0.25">
      <c r="A493" s="18">
        <v>45918</v>
      </c>
      <c r="B493" t="s">
        <v>289</v>
      </c>
      <c r="C493" t="s">
        <v>358</v>
      </c>
      <c r="D493" t="s">
        <v>359</v>
      </c>
      <c r="E493" t="s">
        <v>360</v>
      </c>
      <c r="F493" t="s">
        <v>21</v>
      </c>
      <c r="G493">
        <v>2503</v>
      </c>
      <c r="H493">
        <v>20</v>
      </c>
      <c r="I493">
        <v>-50060</v>
      </c>
      <c r="K493">
        <v>20</v>
      </c>
      <c r="L493">
        <v>-50060</v>
      </c>
      <c r="M493" t="s">
        <v>359</v>
      </c>
      <c r="N493" t="s">
        <v>358</v>
      </c>
    </row>
    <row r="494" spans="1:14" x14ac:dyDescent="0.25">
      <c r="A494" s="18">
        <v>45918</v>
      </c>
      <c r="B494" t="s">
        <v>289</v>
      </c>
      <c r="C494" t="s">
        <v>510</v>
      </c>
      <c r="D494" t="s">
        <v>511</v>
      </c>
      <c r="E494" t="s">
        <v>512</v>
      </c>
      <c r="F494" t="s">
        <v>162</v>
      </c>
      <c r="G494">
        <v>3288</v>
      </c>
      <c r="H494">
        <v>330.3</v>
      </c>
      <c r="I494">
        <v>-1086026.4000000001</v>
      </c>
      <c r="K494">
        <v>330.30000000000007</v>
      </c>
      <c r="L494">
        <v>-1086026.4000000001</v>
      </c>
      <c r="M494" t="s">
        <v>511</v>
      </c>
      <c r="N494" t="s">
        <v>510</v>
      </c>
    </row>
    <row r="495" spans="1:14" x14ac:dyDescent="0.25">
      <c r="A495" s="18">
        <v>45922</v>
      </c>
      <c r="B495" t="s">
        <v>319</v>
      </c>
      <c r="C495" t="s">
        <v>542</v>
      </c>
      <c r="D495" t="s">
        <v>543</v>
      </c>
      <c r="E495" t="s">
        <v>544</v>
      </c>
      <c r="F495" t="s">
        <v>137</v>
      </c>
      <c r="G495">
        <v>-2</v>
      </c>
      <c r="H495">
        <v>173.44</v>
      </c>
      <c r="I495">
        <v>43360000</v>
      </c>
      <c r="K495">
        <v>173.44</v>
      </c>
      <c r="L495">
        <v>43360000</v>
      </c>
      <c r="M495" t="s">
        <v>543</v>
      </c>
      <c r="N495" t="s">
        <v>542</v>
      </c>
    </row>
    <row r="496" spans="1:14" x14ac:dyDescent="0.25">
      <c r="A496" s="18">
        <v>45923</v>
      </c>
      <c r="B496" t="s">
        <v>289</v>
      </c>
      <c r="C496" t="s">
        <v>572</v>
      </c>
      <c r="D496" t="s">
        <v>87</v>
      </c>
      <c r="E496" t="s">
        <v>88</v>
      </c>
      <c r="F496" t="s">
        <v>82</v>
      </c>
      <c r="G496">
        <v>1046</v>
      </c>
      <c r="H496">
        <v>179.35</v>
      </c>
      <c r="I496">
        <v>-187600.1</v>
      </c>
      <c r="K496">
        <v>179.35</v>
      </c>
      <c r="L496">
        <v>-187600.1</v>
      </c>
      <c r="M496" t="s">
        <v>87</v>
      </c>
      <c r="N496" t="s">
        <v>572</v>
      </c>
    </row>
    <row r="497" spans="1:14" x14ac:dyDescent="0.25">
      <c r="A497" s="18">
        <v>45923</v>
      </c>
      <c r="B497" t="s">
        <v>289</v>
      </c>
      <c r="C497" t="s">
        <v>294</v>
      </c>
      <c r="D497" t="s">
        <v>80</v>
      </c>
      <c r="E497" t="s">
        <v>505</v>
      </c>
      <c r="F497" t="s">
        <v>82</v>
      </c>
      <c r="G497">
        <v>1369</v>
      </c>
      <c r="H497">
        <v>68.14</v>
      </c>
      <c r="I497">
        <v>-93283.66</v>
      </c>
      <c r="K497">
        <v>68.14</v>
      </c>
      <c r="L497">
        <v>-93283.66</v>
      </c>
      <c r="M497" t="s">
        <v>80</v>
      </c>
      <c r="N497" t="s">
        <v>294</v>
      </c>
    </row>
    <row r="498" spans="1:14" x14ac:dyDescent="0.25">
      <c r="A498" s="18">
        <v>45923</v>
      </c>
      <c r="B498" t="s">
        <v>289</v>
      </c>
      <c r="C498" t="s">
        <v>450</v>
      </c>
      <c r="D498" t="s">
        <v>116</v>
      </c>
      <c r="E498" t="s">
        <v>451</v>
      </c>
      <c r="F498" t="s">
        <v>21</v>
      </c>
      <c r="G498">
        <v>26810</v>
      </c>
      <c r="H498">
        <v>7.3280000000000003</v>
      </c>
      <c r="I498">
        <v>-196463.68000000002</v>
      </c>
      <c r="K498">
        <v>7.3280000000000012</v>
      </c>
      <c r="L498">
        <v>-196463.68000000002</v>
      </c>
      <c r="M498" t="s">
        <v>116</v>
      </c>
      <c r="N498" t="s">
        <v>450</v>
      </c>
    </row>
    <row r="499" spans="1:14" x14ac:dyDescent="0.25">
      <c r="A499" s="18">
        <v>45923</v>
      </c>
      <c r="B499" t="s">
        <v>319</v>
      </c>
      <c r="C499" t="s">
        <v>323</v>
      </c>
      <c r="D499" t="s">
        <v>39</v>
      </c>
      <c r="E499" t="s">
        <v>40</v>
      </c>
      <c r="F499" t="s">
        <v>36</v>
      </c>
      <c r="G499">
        <v>-5532</v>
      </c>
      <c r="H499">
        <v>23.589500000000001</v>
      </c>
      <c r="I499">
        <v>130497.114</v>
      </c>
      <c r="K499">
        <v>23.589500000000001</v>
      </c>
      <c r="L499">
        <v>130497.114</v>
      </c>
      <c r="M499" t="s">
        <v>39</v>
      </c>
      <c r="N499" t="s">
        <v>323</v>
      </c>
    </row>
    <row r="500" spans="1:14" x14ac:dyDescent="0.25">
      <c r="A500" s="18">
        <v>45924</v>
      </c>
      <c r="B500" t="s">
        <v>289</v>
      </c>
      <c r="C500" t="s">
        <v>572</v>
      </c>
      <c r="D500" t="s">
        <v>87</v>
      </c>
      <c r="E500" t="s">
        <v>88</v>
      </c>
      <c r="F500" t="s">
        <v>82</v>
      </c>
      <c r="G500">
        <v>534</v>
      </c>
      <c r="H500">
        <v>175.05</v>
      </c>
      <c r="I500">
        <v>-93476.700000000012</v>
      </c>
      <c r="K500">
        <v>175.05</v>
      </c>
      <c r="L500">
        <v>-93476.700000000012</v>
      </c>
      <c r="M500" t="s">
        <v>87</v>
      </c>
      <c r="N500" t="s">
        <v>572</v>
      </c>
    </row>
    <row r="501" spans="1:14" x14ac:dyDescent="0.25">
      <c r="A501" s="18">
        <v>45924</v>
      </c>
      <c r="B501" t="s">
        <v>319</v>
      </c>
      <c r="C501" t="s">
        <v>563</v>
      </c>
      <c r="D501" t="s">
        <v>564</v>
      </c>
      <c r="E501" t="s">
        <v>565</v>
      </c>
      <c r="F501" t="s">
        <v>21</v>
      </c>
      <c r="G501">
        <v>-3</v>
      </c>
      <c r="H501">
        <v>23780</v>
      </c>
      <c r="I501">
        <v>356700</v>
      </c>
      <c r="K501">
        <v>23780</v>
      </c>
      <c r="L501">
        <v>356700</v>
      </c>
      <c r="M501" t="s">
        <v>564</v>
      </c>
      <c r="N501" t="s">
        <v>563</v>
      </c>
    </row>
    <row r="502" spans="1:14" x14ac:dyDescent="0.25">
      <c r="A502" s="18">
        <v>45924</v>
      </c>
      <c r="B502" t="s">
        <v>319</v>
      </c>
      <c r="C502" t="s">
        <v>563</v>
      </c>
      <c r="D502" t="s">
        <v>564</v>
      </c>
      <c r="E502" t="s">
        <v>565</v>
      </c>
      <c r="F502" t="s">
        <v>21</v>
      </c>
      <c r="G502">
        <v>-2</v>
      </c>
      <c r="H502">
        <v>23835</v>
      </c>
      <c r="I502">
        <v>238350</v>
      </c>
      <c r="K502">
        <v>23835</v>
      </c>
      <c r="L502">
        <v>238350</v>
      </c>
      <c r="M502" t="s">
        <v>564</v>
      </c>
      <c r="N502" t="s">
        <v>563</v>
      </c>
    </row>
    <row r="503" spans="1:14" x14ac:dyDescent="0.25">
      <c r="A503" s="18">
        <v>45925</v>
      </c>
      <c r="B503" t="s">
        <v>289</v>
      </c>
      <c r="C503" t="s">
        <v>493</v>
      </c>
      <c r="D503" t="s">
        <v>28</v>
      </c>
      <c r="E503" t="s">
        <v>29</v>
      </c>
      <c r="F503" t="s">
        <v>21</v>
      </c>
      <c r="G503">
        <v>435</v>
      </c>
      <c r="H503">
        <v>229.79</v>
      </c>
      <c r="I503">
        <v>-99958.65</v>
      </c>
      <c r="K503">
        <v>229.79</v>
      </c>
      <c r="L503">
        <v>-99958.65</v>
      </c>
      <c r="M503" t="s">
        <v>28</v>
      </c>
      <c r="N503" t="s">
        <v>493</v>
      </c>
    </row>
    <row r="504" spans="1:14" x14ac:dyDescent="0.25">
      <c r="A504" s="18">
        <v>45925</v>
      </c>
      <c r="B504" t="s">
        <v>289</v>
      </c>
      <c r="C504" t="s">
        <v>573</v>
      </c>
      <c r="D504" t="s">
        <v>124</v>
      </c>
      <c r="E504" t="s">
        <v>574</v>
      </c>
      <c r="F504" t="s">
        <v>21</v>
      </c>
      <c r="G504">
        <v>9076</v>
      </c>
      <c r="H504">
        <v>110.22</v>
      </c>
      <c r="I504">
        <v>-1000356.72</v>
      </c>
      <c r="K504">
        <v>110.22</v>
      </c>
      <c r="L504">
        <v>-1000356.72</v>
      </c>
      <c r="M504" t="s">
        <v>124</v>
      </c>
      <c r="N504" t="s">
        <v>573</v>
      </c>
    </row>
    <row r="505" spans="1:14" x14ac:dyDescent="0.25">
      <c r="A505" s="18">
        <v>45925</v>
      </c>
      <c r="B505" t="s">
        <v>319</v>
      </c>
      <c r="C505" t="s">
        <v>294</v>
      </c>
      <c r="D505" t="s">
        <v>80</v>
      </c>
      <c r="E505" t="s">
        <v>505</v>
      </c>
      <c r="F505" t="s">
        <v>82</v>
      </c>
      <c r="G505">
        <v>-2831</v>
      </c>
      <c r="H505">
        <v>65.78</v>
      </c>
      <c r="I505">
        <v>186223.18</v>
      </c>
      <c r="K505">
        <v>65.78</v>
      </c>
      <c r="L505">
        <v>186223.18</v>
      </c>
      <c r="M505" t="s">
        <v>80</v>
      </c>
      <c r="N505" t="s">
        <v>294</v>
      </c>
    </row>
    <row r="506" spans="1:14" x14ac:dyDescent="0.25">
      <c r="A506" s="18">
        <v>45925</v>
      </c>
      <c r="B506" t="s">
        <v>319</v>
      </c>
      <c r="C506" t="s">
        <v>294</v>
      </c>
      <c r="D506" t="s">
        <v>80</v>
      </c>
      <c r="E506" t="s">
        <v>505</v>
      </c>
      <c r="F506" t="s">
        <v>82</v>
      </c>
      <c r="G506">
        <v>-2844</v>
      </c>
      <c r="H506">
        <v>65.52</v>
      </c>
      <c r="I506">
        <v>186338.87999999998</v>
      </c>
      <c r="K506">
        <v>65.52</v>
      </c>
      <c r="L506">
        <v>186338.87999999998</v>
      </c>
      <c r="M506" t="s">
        <v>80</v>
      </c>
      <c r="N506" t="s">
        <v>294</v>
      </c>
    </row>
    <row r="507" spans="1:14" x14ac:dyDescent="0.25">
      <c r="A507" s="18">
        <v>45925</v>
      </c>
      <c r="B507" t="s">
        <v>289</v>
      </c>
      <c r="C507" t="s">
        <v>306</v>
      </c>
      <c r="D507" t="s">
        <v>112</v>
      </c>
      <c r="E507" t="s">
        <v>307</v>
      </c>
      <c r="F507" t="s">
        <v>21</v>
      </c>
      <c r="G507">
        <v>3048</v>
      </c>
      <c r="H507">
        <v>131.30000000000001</v>
      </c>
      <c r="I507">
        <v>-400202.4</v>
      </c>
      <c r="K507">
        <v>131.30000000000001</v>
      </c>
      <c r="L507">
        <v>-400202.4</v>
      </c>
      <c r="M507" t="s">
        <v>112</v>
      </c>
      <c r="N507" t="s">
        <v>306</v>
      </c>
    </row>
    <row r="508" spans="1:14" x14ac:dyDescent="0.25">
      <c r="A508" s="18">
        <v>45925</v>
      </c>
      <c r="B508" t="s">
        <v>289</v>
      </c>
      <c r="C508" t="s">
        <v>527</v>
      </c>
      <c r="D508" t="s">
        <v>528</v>
      </c>
      <c r="E508" t="s">
        <v>529</v>
      </c>
      <c r="F508" t="s">
        <v>21</v>
      </c>
      <c r="G508">
        <v>3</v>
      </c>
      <c r="H508">
        <v>128.22</v>
      </c>
      <c r="I508">
        <v>-384659.99999999994</v>
      </c>
      <c r="K508">
        <v>128.22</v>
      </c>
      <c r="L508">
        <v>-384659.99999999994</v>
      </c>
      <c r="M508" t="s">
        <v>528</v>
      </c>
      <c r="N508" t="s">
        <v>527</v>
      </c>
    </row>
    <row r="509" spans="1:14" x14ac:dyDescent="0.25">
      <c r="A509" s="18">
        <v>45925</v>
      </c>
      <c r="B509" t="s">
        <v>289</v>
      </c>
      <c r="C509" t="s">
        <v>575</v>
      </c>
      <c r="D509" t="s">
        <v>576</v>
      </c>
      <c r="E509" t="s">
        <v>577</v>
      </c>
      <c r="F509" t="s">
        <v>21</v>
      </c>
      <c r="G509">
        <v>45</v>
      </c>
      <c r="H509">
        <v>22225.86</v>
      </c>
      <c r="I509">
        <v>-1000163.7000000001</v>
      </c>
      <c r="K509">
        <v>22225.86</v>
      </c>
      <c r="L509">
        <v>-1000163.7000000001</v>
      </c>
      <c r="M509" t="s">
        <v>576</v>
      </c>
      <c r="N509" t="s">
        <v>575</v>
      </c>
    </row>
    <row r="510" spans="1:14" x14ac:dyDescent="0.25">
      <c r="A510" s="18">
        <v>45925</v>
      </c>
      <c r="B510" t="s">
        <v>289</v>
      </c>
      <c r="C510" t="s">
        <v>311</v>
      </c>
      <c r="D510" t="s">
        <v>312</v>
      </c>
      <c r="E510" t="s">
        <v>313</v>
      </c>
      <c r="F510" t="s">
        <v>21</v>
      </c>
      <c r="G510">
        <v>347</v>
      </c>
      <c r="H510">
        <v>288.51069999999999</v>
      </c>
      <c r="I510">
        <v>-100113.2129</v>
      </c>
      <c r="K510">
        <v>288.51069999999999</v>
      </c>
      <c r="L510">
        <v>-100113.2129</v>
      </c>
      <c r="M510" t="s">
        <v>312</v>
      </c>
      <c r="N510" t="s">
        <v>311</v>
      </c>
    </row>
    <row r="511" spans="1:14" x14ac:dyDescent="0.25">
      <c r="A511" s="18">
        <v>45925</v>
      </c>
      <c r="B511" t="s">
        <v>289</v>
      </c>
      <c r="C511" t="s">
        <v>311</v>
      </c>
      <c r="D511" t="s">
        <v>312</v>
      </c>
      <c r="E511" t="s">
        <v>313</v>
      </c>
      <c r="F511" t="s">
        <v>21</v>
      </c>
      <c r="G511">
        <v>348</v>
      </c>
      <c r="H511">
        <v>287.50110000000001</v>
      </c>
      <c r="I511">
        <v>-100050.38280000001</v>
      </c>
      <c r="K511">
        <v>287.50110000000001</v>
      </c>
      <c r="L511">
        <v>-100050.38280000001</v>
      </c>
      <c r="M511" t="s">
        <v>312</v>
      </c>
      <c r="N511" t="s">
        <v>311</v>
      </c>
    </row>
    <row r="512" spans="1:14" x14ac:dyDescent="0.25">
      <c r="A512" s="18">
        <v>45926</v>
      </c>
      <c r="B512" t="s">
        <v>289</v>
      </c>
      <c r="C512" t="s">
        <v>450</v>
      </c>
      <c r="D512" t="s">
        <v>116</v>
      </c>
      <c r="E512" t="s">
        <v>451</v>
      </c>
      <c r="F512" t="s">
        <v>21</v>
      </c>
      <c r="G512">
        <v>6554</v>
      </c>
      <c r="H512">
        <v>7.444</v>
      </c>
      <c r="I512">
        <v>-48787.976000000002</v>
      </c>
      <c r="K512">
        <v>7.444</v>
      </c>
      <c r="L512">
        <v>-48787.976000000002</v>
      </c>
      <c r="M512" t="s">
        <v>116</v>
      </c>
      <c r="N512" t="s">
        <v>450</v>
      </c>
    </row>
    <row r="513" spans="1:14" x14ac:dyDescent="0.25">
      <c r="A513" s="18">
        <v>45926</v>
      </c>
      <c r="B513" t="s">
        <v>289</v>
      </c>
      <c r="C513" t="s">
        <v>452</v>
      </c>
      <c r="D513" t="s">
        <v>453</v>
      </c>
      <c r="E513" t="s">
        <v>454</v>
      </c>
      <c r="F513" t="s">
        <v>162</v>
      </c>
      <c r="G513">
        <v>7085</v>
      </c>
      <c r="H513">
        <v>156.1506</v>
      </c>
      <c r="I513">
        <v>-1106327.0009999999</v>
      </c>
      <c r="K513">
        <v>156.1506</v>
      </c>
      <c r="L513">
        <v>-1106327.0009999999</v>
      </c>
      <c r="M513" t="s">
        <v>453</v>
      </c>
      <c r="N513" t="s">
        <v>452</v>
      </c>
    </row>
    <row r="514" spans="1:14" x14ac:dyDescent="0.25">
      <c r="A514" s="18">
        <v>45929</v>
      </c>
      <c r="B514" t="s">
        <v>289</v>
      </c>
      <c r="C514" t="s">
        <v>290</v>
      </c>
      <c r="D514" t="s">
        <v>45</v>
      </c>
      <c r="E514" t="s">
        <v>46</v>
      </c>
      <c r="F514" t="s">
        <v>21</v>
      </c>
      <c r="G514">
        <v>2116</v>
      </c>
      <c r="H514">
        <v>46.6584</v>
      </c>
      <c r="I514">
        <v>-98729.174400000004</v>
      </c>
      <c r="K514">
        <v>46.6584</v>
      </c>
      <c r="L514">
        <v>-98729.174400000004</v>
      </c>
      <c r="M514" t="s">
        <v>45</v>
      </c>
      <c r="N514" t="s">
        <v>290</v>
      </c>
    </row>
    <row r="515" spans="1:14" x14ac:dyDescent="0.25">
      <c r="A515" s="18">
        <v>45929</v>
      </c>
      <c r="B515" t="s">
        <v>289</v>
      </c>
      <c r="C515" t="s">
        <v>435</v>
      </c>
      <c r="D515" t="s">
        <v>99</v>
      </c>
      <c r="E515" t="s">
        <v>100</v>
      </c>
      <c r="F515" t="s">
        <v>21</v>
      </c>
      <c r="G515">
        <v>5650</v>
      </c>
      <c r="H515">
        <v>8.7940000000000005</v>
      </c>
      <c r="I515">
        <v>-49686.100000000006</v>
      </c>
      <c r="K515">
        <v>8.7940000000000005</v>
      </c>
      <c r="L515">
        <v>-49686.100000000006</v>
      </c>
      <c r="M515" t="s">
        <v>99</v>
      </c>
      <c r="N515" t="s">
        <v>435</v>
      </c>
    </row>
    <row r="516" spans="1:14" x14ac:dyDescent="0.25">
      <c r="A516" s="18">
        <v>45930</v>
      </c>
      <c r="B516" t="s">
        <v>289</v>
      </c>
      <c r="C516" t="s">
        <v>484</v>
      </c>
      <c r="D516" t="s">
        <v>30</v>
      </c>
      <c r="E516" t="s">
        <v>31</v>
      </c>
      <c r="F516" t="s">
        <v>21</v>
      </c>
      <c r="G516">
        <v>676</v>
      </c>
      <c r="H516">
        <v>147.9</v>
      </c>
      <c r="I516">
        <v>-99980.400000000009</v>
      </c>
      <c r="K516">
        <v>147.9</v>
      </c>
      <c r="L516">
        <v>-99980.400000000009</v>
      </c>
      <c r="M516" t="s">
        <v>30</v>
      </c>
      <c r="N516" t="s">
        <v>484</v>
      </c>
    </row>
    <row r="517" spans="1:14" x14ac:dyDescent="0.25">
      <c r="A517" s="18">
        <v>45930</v>
      </c>
      <c r="B517" t="s">
        <v>289</v>
      </c>
      <c r="C517" t="s">
        <v>290</v>
      </c>
      <c r="D517" t="s">
        <v>45</v>
      </c>
      <c r="E517" t="s">
        <v>46</v>
      </c>
      <c r="F517" t="s">
        <v>21</v>
      </c>
      <c r="G517">
        <v>2195</v>
      </c>
      <c r="H517">
        <v>45.34</v>
      </c>
      <c r="I517">
        <v>-99521.3</v>
      </c>
      <c r="K517">
        <v>45.34</v>
      </c>
      <c r="L517">
        <v>-99521.3</v>
      </c>
      <c r="M517" t="s">
        <v>45</v>
      </c>
      <c r="N517" t="s">
        <v>290</v>
      </c>
    </row>
    <row r="518" spans="1:14" x14ac:dyDescent="0.25">
      <c r="A518" s="18">
        <v>45930</v>
      </c>
      <c r="B518" t="s">
        <v>289</v>
      </c>
      <c r="C518" t="s">
        <v>294</v>
      </c>
      <c r="D518" t="s">
        <v>80</v>
      </c>
      <c r="E518" t="s">
        <v>505</v>
      </c>
      <c r="F518" t="s">
        <v>82</v>
      </c>
      <c r="G518">
        <v>4193</v>
      </c>
      <c r="H518">
        <v>66.94</v>
      </c>
      <c r="I518">
        <v>-280679.42</v>
      </c>
      <c r="K518">
        <v>66.94</v>
      </c>
      <c r="L518">
        <v>-280679.42</v>
      </c>
      <c r="M518" t="s">
        <v>80</v>
      </c>
      <c r="N518" t="s">
        <v>294</v>
      </c>
    </row>
    <row r="519" spans="1:14" x14ac:dyDescent="0.25">
      <c r="A519" s="18">
        <v>45930</v>
      </c>
      <c r="B519" t="s">
        <v>289</v>
      </c>
      <c r="C519" t="s">
        <v>578</v>
      </c>
      <c r="D519" t="s">
        <v>74</v>
      </c>
      <c r="E519" t="s">
        <v>75</v>
      </c>
      <c r="F519" t="s">
        <v>36</v>
      </c>
      <c r="G519">
        <v>39245</v>
      </c>
      <c r="H519">
        <v>2.2319</v>
      </c>
      <c r="I519">
        <v>-87590.915500000003</v>
      </c>
      <c r="K519">
        <v>2.2319</v>
      </c>
      <c r="L519">
        <v>-87590.915500000003</v>
      </c>
      <c r="M519" t="s">
        <v>74</v>
      </c>
      <c r="N519" t="s">
        <v>578</v>
      </c>
    </row>
    <row r="520" spans="1:14" x14ac:dyDescent="0.25">
      <c r="A520" s="18">
        <v>45930</v>
      </c>
      <c r="B520" t="s">
        <v>289</v>
      </c>
      <c r="C520" t="s">
        <v>527</v>
      </c>
      <c r="D520" t="s">
        <v>528</v>
      </c>
      <c r="E520" t="s">
        <v>529</v>
      </c>
      <c r="F520" t="s">
        <v>21</v>
      </c>
      <c r="G520">
        <v>2</v>
      </c>
      <c r="H520">
        <v>128.63</v>
      </c>
      <c r="I520">
        <v>-257260</v>
      </c>
      <c r="K520">
        <v>128.63</v>
      </c>
      <c r="L520">
        <v>-257260</v>
      </c>
      <c r="M520" t="s">
        <v>528</v>
      </c>
      <c r="N520" t="s">
        <v>527</v>
      </c>
    </row>
    <row r="521" spans="1:14" x14ac:dyDescent="0.25">
      <c r="A521" s="18">
        <v>45930</v>
      </c>
      <c r="B521" t="s">
        <v>289</v>
      </c>
      <c r="C521" t="s">
        <v>575</v>
      </c>
      <c r="D521" t="s">
        <v>576</v>
      </c>
      <c r="E521" t="s">
        <v>577</v>
      </c>
      <c r="F521" t="s">
        <v>21</v>
      </c>
      <c r="G521">
        <v>45</v>
      </c>
      <c r="H521">
        <v>22230.7</v>
      </c>
      <c r="I521">
        <v>-1000381.5</v>
      </c>
      <c r="K521">
        <v>22230.7</v>
      </c>
      <c r="L521">
        <v>-1000381.5</v>
      </c>
      <c r="M521" t="s">
        <v>576</v>
      </c>
      <c r="N521" t="s">
        <v>575</v>
      </c>
    </row>
    <row r="522" spans="1:14" x14ac:dyDescent="0.25">
      <c r="A522" s="18">
        <v>45931</v>
      </c>
      <c r="B522" t="s">
        <v>289</v>
      </c>
      <c r="C522" t="s">
        <v>311</v>
      </c>
      <c r="D522" t="s">
        <v>312</v>
      </c>
      <c r="E522" t="s">
        <v>313</v>
      </c>
      <c r="F522" t="s">
        <v>21</v>
      </c>
      <c r="G522">
        <v>338</v>
      </c>
      <c r="H522">
        <v>296.38200000000001</v>
      </c>
      <c r="I522">
        <v>-100177.11599999999</v>
      </c>
      <c r="K522">
        <v>296.38200000000001</v>
      </c>
      <c r="L522">
        <v>-100177.11599999999</v>
      </c>
      <c r="M522" t="s">
        <v>312</v>
      </c>
      <c r="N522" t="s">
        <v>311</v>
      </c>
    </row>
    <row r="523" spans="1:14" x14ac:dyDescent="0.25">
      <c r="A523" s="18">
        <v>45931</v>
      </c>
      <c r="B523" t="s">
        <v>289</v>
      </c>
      <c r="C523" t="s">
        <v>579</v>
      </c>
      <c r="D523" t="s">
        <v>580</v>
      </c>
      <c r="E523" t="s">
        <v>581</v>
      </c>
      <c r="F523" t="s">
        <v>49</v>
      </c>
      <c r="G523">
        <v>1274</v>
      </c>
      <c r="H523">
        <v>184.8398</v>
      </c>
      <c r="I523">
        <v>-235485.90520000001</v>
      </c>
      <c r="K523">
        <v>184.8398</v>
      </c>
      <c r="L523">
        <v>-235485.90520000001</v>
      </c>
      <c r="M523" t="s">
        <v>580</v>
      </c>
      <c r="N523" t="s">
        <v>579</v>
      </c>
    </row>
    <row r="524" spans="1:14" x14ac:dyDescent="0.25">
      <c r="A524" s="18">
        <v>45931</v>
      </c>
      <c r="B524" t="s">
        <v>319</v>
      </c>
      <c r="C524" t="s">
        <v>318</v>
      </c>
      <c r="D524" t="s">
        <v>22</v>
      </c>
      <c r="E524" t="s">
        <v>23</v>
      </c>
      <c r="F524" t="s">
        <v>21</v>
      </c>
      <c r="G524">
        <v>-14625</v>
      </c>
      <c r="H524">
        <v>22.255500000000001</v>
      </c>
      <c r="I524">
        <v>325486.6875</v>
      </c>
      <c r="K524">
        <v>22.255500000000001</v>
      </c>
      <c r="L524">
        <v>325486.6875</v>
      </c>
      <c r="M524" t="s">
        <v>22</v>
      </c>
      <c r="N524" t="s">
        <v>318</v>
      </c>
    </row>
    <row r="525" spans="1:14" x14ac:dyDescent="0.25">
      <c r="A525" s="18">
        <v>45931</v>
      </c>
      <c r="B525" t="s">
        <v>289</v>
      </c>
      <c r="C525" t="s">
        <v>527</v>
      </c>
      <c r="D525" t="s">
        <v>528</v>
      </c>
      <c r="E525" t="s">
        <v>529</v>
      </c>
      <c r="F525" t="s">
        <v>21</v>
      </c>
      <c r="G525">
        <v>2</v>
      </c>
      <c r="H525">
        <v>128.30000000000001</v>
      </c>
      <c r="I525">
        <v>-256600.00000000003</v>
      </c>
      <c r="K525">
        <v>128.30000000000001</v>
      </c>
      <c r="L525">
        <v>-256600.00000000003</v>
      </c>
      <c r="M525" t="s">
        <v>528</v>
      </c>
      <c r="N525" t="s">
        <v>527</v>
      </c>
    </row>
    <row r="526" spans="1:14" x14ac:dyDescent="0.25">
      <c r="A526" s="18">
        <v>45931</v>
      </c>
      <c r="B526" t="s">
        <v>289</v>
      </c>
      <c r="C526" t="s">
        <v>325</v>
      </c>
      <c r="D526" t="s">
        <v>47</v>
      </c>
      <c r="E526" t="s">
        <v>48</v>
      </c>
      <c r="F526" t="s">
        <v>36</v>
      </c>
      <c r="G526">
        <v>1977</v>
      </c>
      <c r="H526">
        <v>88.332300000000004</v>
      </c>
      <c r="I526">
        <v>-174632.9571</v>
      </c>
      <c r="K526">
        <v>88.332300000000004</v>
      </c>
      <c r="L526">
        <v>-174632.9571</v>
      </c>
      <c r="M526" t="s">
        <v>47</v>
      </c>
      <c r="N526" t="s">
        <v>325</v>
      </c>
    </row>
    <row r="527" spans="1:14" x14ac:dyDescent="0.25">
      <c r="A527" s="18">
        <v>45931</v>
      </c>
      <c r="B527" t="s">
        <v>289</v>
      </c>
      <c r="C527" t="s">
        <v>548</v>
      </c>
      <c r="D527" t="s">
        <v>549</v>
      </c>
      <c r="E527" t="s">
        <v>550</v>
      </c>
      <c r="F527" t="s">
        <v>21</v>
      </c>
      <c r="G527">
        <v>10707</v>
      </c>
      <c r="H527">
        <v>4.6821000000000002</v>
      </c>
      <c r="I527">
        <v>-50131.244700000003</v>
      </c>
      <c r="K527">
        <v>4.6821000000000002</v>
      </c>
      <c r="L527">
        <v>-50131.244700000003</v>
      </c>
      <c r="M527" t="s">
        <v>549</v>
      </c>
      <c r="N527" t="s">
        <v>548</v>
      </c>
    </row>
    <row r="528" spans="1:14" x14ac:dyDescent="0.25">
      <c r="A528" s="18">
        <v>45931</v>
      </c>
      <c r="B528" t="s">
        <v>289</v>
      </c>
      <c r="C528" t="s">
        <v>435</v>
      </c>
      <c r="D528" t="s">
        <v>99</v>
      </c>
      <c r="E528" t="s">
        <v>100</v>
      </c>
      <c r="F528" t="s">
        <v>21</v>
      </c>
      <c r="G528">
        <v>11377</v>
      </c>
      <c r="H528">
        <v>8.7965</v>
      </c>
      <c r="I528">
        <v>-100077.78049999999</v>
      </c>
      <c r="K528">
        <v>8.7965</v>
      </c>
      <c r="L528">
        <v>-100077.78049999999</v>
      </c>
      <c r="M528" t="s">
        <v>99</v>
      </c>
      <c r="N528" t="s">
        <v>435</v>
      </c>
    </row>
    <row r="529" spans="1:14" x14ac:dyDescent="0.25">
      <c r="A529" s="18">
        <v>45931</v>
      </c>
      <c r="B529" t="s">
        <v>289</v>
      </c>
      <c r="C529" t="s">
        <v>435</v>
      </c>
      <c r="D529" t="s">
        <v>99</v>
      </c>
      <c r="E529" t="s">
        <v>100</v>
      </c>
      <c r="F529" t="s">
        <v>21</v>
      </c>
      <c r="G529">
        <v>11375</v>
      </c>
      <c r="H529">
        <v>8.7995999999999999</v>
      </c>
      <c r="I529">
        <v>-100095.45</v>
      </c>
      <c r="K529">
        <v>8.7995999999999999</v>
      </c>
      <c r="L529">
        <v>-100095.45</v>
      </c>
      <c r="M529" t="s">
        <v>99</v>
      </c>
      <c r="N529" t="s">
        <v>435</v>
      </c>
    </row>
    <row r="530" spans="1:14" x14ac:dyDescent="0.25">
      <c r="A530" s="18">
        <v>45931</v>
      </c>
      <c r="B530" t="s">
        <v>289</v>
      </c>
      <c r="C530" t="s">
        <v>392</v>
      </c>
      <c r="D530" t="s">
        <v>393</v>
      </c>
      <c r="E530" t="s">
        <v>494</v>
      </c>
      <c r="F530" t="s">
        <v>157</v>
      </c>
      <c r="G530">
        <v>3762</v>
      </c>
      <c r="H530">
        <v>100.02800000000001</v>
      </c>
      <c r="I530">
        <v>-376305.33600000001</v>
      </c>
      <c r="K530">
        <v>100.02800000000001</v>
      </c>
      <c r="L530">
        <v>-376305.33600000001</v>
      </c>
      <c r="M530" t="s">
        <v>393</v>
      </c>
      <c r="N530" t="s">
        <v>392</v>
      </c>
    </row>
    <row r="531" spans="1:14" x14ac:dyDescent="0.25">
      <c r="A531" s="18">
        <v>45932</v>
      </c>
      <c r="B531" t="s">
        <v>319</v>
      </c>
      <c r="C531" t="s">
        <v>489</v>
      </c>
      <c r="D531" t="s">
        <v>66</v>
      </c>
      <c r="E531" t="s">
        <v>67</v>
      </c>
      <c r="F531" t="s">
        <v>49</v>
      </c>
      <c r="G531">
        <v>-53</v>
      </c>
      <c r="H531">
        <v>2185.9901</v>
      </c>
      <c r="I531">
        <v>115857.47530000001</v>
      </c>
      <c r="K531">
        <v>2185.9901</v>
      </c>
      <c r="L531">
        <v>115857.47530000001</v>
      </c>
      <c r="M531" t="s">
        <v>66</v>
      </c>
      <c r="N531" t="s">
        <v>489</v>
      </c>
    </row>
    <row r="532" spans="1:14" x14ac:dyDescent="0.25">
      <c r="A532" s="18">
        <v>45932</v>
      </c>
      <c r="B532" t="s">
        <v>289</v>
      </c>
      <c r="C532" t="s">
        <v>536</v>
      </c>
      <c r="D532" t="s">
        <v>537</v>
      </c>
      <c r="E532" t="s">
        <v>538</v>
      </c>
      <c r="F532" t="s">
        <v>21</v>
      </c>
      <c r="G532">
        <v>676</v>
      </c>
      <c r="H532">
        <v>72.394599999999997</v>
      </c>
      <c r="I532">
        <v>-48938.749599999996</v>
      </c>
      <c r="K532">
        <v>72.394599999999997</v>
      </c>
      <c r="L532">
        <v>-48938.749599999996</v>
      </c>
      <c r="M532" t="s">
        <v>537</v>
      </c>
      <c r="N532" t="s">
        <v>536</v>
      </c>
    </row>
    <row r="533" spans="1:14" x14ac:dyDescent="0.25">
      <c r="A533" s="18">
        <v>45932</v>
      </c>
      <c r="B533" t="s">
        <v>289</v>
      </c>
      <c r="C533" t="s">
        <v>527</v>
      </c>
      <c r="D533" t="s">
        <v>528</v>
      </c>
      <c r="E533" t="s">
        <v>529</v>
      </c>
      <c r="F533" t="s">
        <v>21</v>
      </c>
      <c r="G533">
        <v>2</v>
      </c>
      <c r="H533">
        <v>128.59</v>
      </c>
      <c r="I533">
        <v>-257180</v>
      </c>
      <c r="K533">
        <v>128.59</v>
      </c>
      <c r="L533">
        <v>-257180</v>
      </c>
      <c r="M533" t="s">
        <v>528</v>
      </c>
      <c r="N533" t="s">
        <v>527</v>
      </c>
    </row>
    <row r="534" spans="1:14" x14ac:dyDescent="0.25">
      <c r="A534" s="18">
        <v>45932</v>
      </c>
      <c r="B534" t="s">
        <v>319</v>
      </c>
      <c r="C534" t="s">
        <v>545</v>
      </c>
      <c r="D534" t="s">
        <v>546</v>
      </c>
      <c r="E534" t="s">
        <v>547</v>
      </c>
      <c r="F534" t="s">
        <v>21</v>
      </c>
      <c r="G534">
        <v>-1335</v>
      </c>
      <c r="H534">
        <v>108.2756</v>
      </c>
      <c r="I534">
        <v>144547.92600000001</v>
      </c>
      <c r="K534">
        <v>108.27560000000001</v>
      </c>
      <c r="L534">
        <v>144547.92600000001</v>
      </c>
      <c r="M534" t="s">
        <v>546</v>
      </c>
      <c r="N534" t="s">
        <v>545</v>
      </c>
    </row>
    <row r="535" spans="1:14" x14ac:dyDescent="0.25">
      <c r="A535" s="18">
        <v>45932</v>
      </c>
      <c r="B535" t="s">
        <v>289</v>
      </c>
      <c r="C535" t="s">
        <v>325</v>
      </c>
      <c r="D535" t="s">
        <v>47</v>
      </c>
      <c r="E535" t="s">
        <v>48</v>
      </c>
      <c r="F535" t="s">
        <v>36</v>
      </c>
      <c r="G535">
        <v>976</v>
      </c>
      <c r="H535">
        <v>89.164599999999993</v>
      </c>
      <c r="I535">
        <v>-87024.64959999999</v>
      </c>
      <c r="K535">
        <v>89.164599999999993</v>
      </c>
      <c r="L535">
        <v>-87024.64959999999</v>
      </c>
      <c r="M535" t="s">
        <v>47</v>
      </c>
      <c r="N535" t="s">
        <v>325</v>
      </c>
    </row>
    <row r="536" spans="1:14" x14ac:dyDescent="0.25">
      <c r="A536" s="18">
        <v>45932</v>
      </c>
      <c r="B536" t="s">
        <v>319</v>
      </c>
      <c r="C536" t="s">
        <v>342</v>
      </c>
      <c r="D536" t="s">
        <v>343</v>
      </c>
      <c r="E536" t="s">
        <v>282</v>
      </c>
      <c r="F536" t="s">
        <v>21</v>
      </c>
      <c r="G536">
        <v>-2143</v>
      </c>
      <c r="H536">
        <v>93.216999999999999</v>
      </c>
      <c r="I536">
        <v>199764.03099999999</v>
      </c>
      <c r="K536">
        <v>93.216999999999999</v>
      </c>
      <c r="L536">
        <v>199764.03099999999</v>
      </c>
      <c r="M536" t="s">
        <v>343</v>
      </c>
      <c r="N536" t="s">
        <v>342</v>
      </c>
    </row>
    <row r="537" spans="1:14" x14ac:dyDescent="0.25">
      <c r="A537" s="18">
        <v>45932</v>
      </c>
      <c r="B537" t="s">
        <v>289</v>
      </c>
      <c r="C537" t="s">
        <v>582</v>
      </c>
      <c r="D537" t="s">
        <v>83</v>
      </c>
      <c r="E537" t="s">
        <v>583</v>
      </c>
      <c r="F537" t="s">
        <v>82</v>
      </c>
      <c r="G537">
        <v>913</v>
      </c>
      <c r="H537">
        <v>154.2022</v>
      </c>
      <c r="I537">
        <v>-140786.60860000001</v>
      </c>
      <c r="K537">
        <v>154.2022</v>
      </c>
      <c r="L537">
        <v>-140786.60860000001</v>
      </c>
      <c r="M537" t="s">
        <v>83</v>
      </c>
      <c r="N537" t="s">
        <v>582</v>
      </c>
    </row>
    <row r="538" spans="1:14" x14ac:dyDescent="0.25">
      <c r="A538" s="18">
        <v>45932</v>
      </c>
      <c r="B538" t="s">
        <v>319</v>
      </c>
      <c r="C538" t="s">
        <v>566</v>
      </c>
      <c r="D538" t="s">
        <v>567</v>
      </c>
      <c r="E538" t="s">
        <v>568</v>
      </c>
      <c r="F538" t="s">
        <v>21</v>
      </c>
      <c r="G538">
        <v>-3</v>
      </c>
      <c r="H538">
        <v>8064.5</v>
      </c>
      <c r="I538">
        <v>241935</v>
      </c>
      <c r="K538">
        <v>8064.5</v>
      </c>
      <c r="L538">
        <v>241935</v>
      </c>
      <c r="M538" t="s">
        <v>567</v>
      </c>
      <c r="N538" t="s">
        <v>566</v>
      </c>
    </row>
    <row r="539" spans="1:14" x14ac:dyDescent="0.25">
      <c r="A539" s="18">
        <v>45932</v>
      </c>
      <c r="B539" t="s">
        <v>319</v>
      </c>
      <c r="C539" t="s">
        <v>464</v>
      </c>
      <c r="D539" t="s">
        <v>465</v>
      </c>
      <c r="E539" t="s">
        <v>265</v>
      </c>
      <c r="F539" t="s">
        <v>49</v>
      </c>
      <c r="G539">
        <v>-2496</v>
      </c>
      <c r="H539">
        <v>33.594999999999999</v>
      </c>
      <c r="I539">
        <v>83853.119999999995</v>
      </c>
      <c r="K539">
        <v>33.594999999999999</v>
      </c>
      <c r="L539">
        <v>83853.119999999995</v>
      </c>
      <c r="M539" t="s">
        <v>465</v>
      </c>
      <c r="N539" t="s">
        <v>464</v>
      </c>
    </row>
    <row r="540" spans="1:14" x14ac:dyDescent="0.25">
      <c r="A540" s="18">
        <v>45932</v>
      </c>
      <c r="B540" t="s">
        <v>289</v>
      </c>
      <c r="C540" t="s">
        <v>584</v>
      </c>
      <c r="D540" t="s">
        <v>585</v>
      </c>
      <c r="E540" t="s">
        <v>586</v>
      </c>
      <c r="F540" t="s">
        <v>36</v>
      </c>
      <c r="G540">
        <v>1041</v>
      </c>
      <c r="H540">
        <v>125.2655</v>
      </c>
      <c r="I540">
        <v>-130401.3855</v>
      </c>
      <c r="K540">
        <v>125.2655</v>
      </c>
      <c r="L540">
        <v>-130401.3855</v>
      </c>
      <c r="M540" t="s">
        <v>585</v>
      </c>
      <c r="N540" t="s">
        <v>584</v>
      </c>
    </row>
    <row r="541" spans="1:14" x14ac:dyDescent="0.25">
      <c r="A541" s="18">
        <v>45932</v>
      </c>
      <c r="B541" t="s">
        <v>289</v>
      </c>
      <c r="C541" t="s">
        <v>584</v>
      </c>
      <c r="D541" t="s">
        <v>585</v>
      </c>
      <c r="E541" t="s">
        <v>586</v>
      </c>
      <c r="F541" t="s">
        <v>36</v>
      </c>
      <c r="G541">
        <v>1046</v>
      </c>
      <c r="H541">
        <v>124.76</v>
      </c>
      <c r="I541">
        <v>-130498.96</v>
      </c>
      <c r="K541">
        <v>124.76</v>
      </c>
      <c r="L541">
        <v>-130498.96</v>
      </c>
      <c r="M541" t="s">
        <v>585</v>
      </c>
      <c r="N541" t="s">
        <v>584</v>
      </c>
    </row>
    <row r="542" spans="1:14" x14ac:dyDescent="0.25">
      <c r="A542" s="18">
        <v>45933</v>
      </c>
      <c r="B542" t="s">
        <v>289</v>
      </c>
      <c r="C542" t="s">
        <v>587</v>
      </c>
      <c r="D542" t="s">
        <v>588</v>
      </c>
      <c r="E542" t="s">
        <v>589</v>
      </c>
      <c r="F542" t="s">
        <v>21</v>
      </c>
      <c r="G542">
        <v>8429</v>
      </c>
      <c r="H542">
        <v>11.86</v>
      </c>
      <c r="I542">
        <v>-99967.94</v>
      </c>
      <c r="K542">
        <v>11.86</v>
      </c>
      <c r="L542">
        <v>-99967.94</v>
      </c>
      <c r="M542" t="s">
        <v>588</v>
      </c>
      <c r="N542" t="s">
        <v>587</v>
      </c>
    </row>
    <row r="543" spans="1:14" x14ac:dyDescent="0.25">
      <c r="A543" s="18">
        <v>45933</v>
      </c>
      <c r="B543" t="s">
        <v>289</v>
      </c>
      <c r="C543" t="s">
        <v>294</v>
      </c>
      <c r="D543" t="s">
        <v>80</v>
      </c>
      <c r="E543" t="s">
        <v>505</v>
      </c>
      <c r="F543" t="s">
        <v>82</v>
      </c>
      <c r="G543">
        <v>1417</v>
      </c>
      <c r="H543">
        <v>65.900000000000006</v>
      </c>
      <c r="I543">
        <v>-93380.3</v>
      </c>
      <c r="K543">
        <v>65.900000000000006</v>
      </c>
      <c r="L543">
        <v>-93380.3</v>
      </c>
      <c r="M543" t="s">
        <v>80</v>
      </c>
      <c r="N543" t="s">
        <v>294</v>
      </c>
    </row>
    <row r="544" spans="1:14" x14ac:dyDescent="0.25">
      <c r="A544" s="18">
        <v>45933</v>
      </c>
      <c r="B544" t="s">
        <v>289</v>
      </c>
      <c r="C544" t="s">
        <v>533</v>
      </c>
      <c r="D544" t="s">
        <v>534</v>
      </c>
      <c r="E544" t="s">
        <v>535</v>
      </c>
      <c r="F544" t="s">
        <v>21</v>
      </c>
      <c r="G544">
        <v>3</v>
      </c>
      <c r="H544">
        <v>123.48</v>
      </c>
      <c r="I544">
        <v>-370440</v>
      </c>
      <c r="K544">
        <v>123.48</v>
      </c>
      <c r="L544">
        <v>-370440</v>
      </c>
      <c r="M544" t="s">
        <v>534</v>
      </c>
      <c r="N544" t="s">
        <v>533</v>
      </c>
    </row>
    <row r="545" spans="1:14" x14ac:dyDescent="0.25">
      <c r="A545" s="18">
        <v>45933</v>
      </c>
      <c r="B545" t="s">
        <v>289</v>
      </c>
      <c r="C545" t="s">
        <v>582</v>
      </c>
      <c r="D545" t="s">
        <v>83</v>
      </c>
      <c r="E545" t="s">
        <v>583</v>
      </c>
      <c r="F545" t="s">
        <v>82</v>
      </c>
      <c r="G545">
        <v>903</v>
      </c>
      <c r="H545">
        <v>155.15</v>
      </c>
      <c r="I545">
        <v>-140100.45000000001</v>
      </c>
      <c r="K545">
        <v>155.15</v>
      </c>
      <c r="L545">
        <v>-140100.45000000001</v>
      </c>
      <c r="M545" t="s">
        <v>83</v>
      </c>
      <c r="N545" t="s">
        <v>582</v>
      </c>
    </row>
    <row r="546" spans="1:14" x14ac:dyDescent="0.25">
      <c r="A546" s="18">
        <v>45933</v>
      </c>
      <c r="B546" t="s">
        <v>289</v>
      </c>
      <c r="C546" t="s">
        <v>584</v>
      </c>
      <c r="D546" t="s">
        <v>585</v>
      </c>
      <c r="E546" t="s">
        <v>586</v>
      </c>
      <c r="F546" t="s">
        <v>36</v>
      </c>
      <c r="G546">
        <v>697</v>
      </c>
      <c r="H546">
        <v>125.11</v>
      </c>
      <c r="I546">
        <v>-87201.67</v>
      </c>
      <c r="K546">
        <v>125.11</v>
      </c>
      <c r="L546">
        <v>-87201.67</v>
      </c>
      <c r="M546" t="s">
        <v>585</v>
      </c>
      <c r="N546" t="s">
        <v>584</v>
      </c>
    </row>
    <row r="547" spans="1:14" x14ac:dyDescent="0.25">
      <c r="A547" s="18">
        <v>45936</v>
      </c>
      <c r="B547" t="s">
        <v>289</v>
      </c>
      <c r="C547" t="s">
        <v>421</v>
      </c>
      <c r="D547" t="s">
        <v>422</v>
      </c>
      <c r="E547" t="s">
        <v>423</v>
      </c>
      <c r="F547" t="s">
        <v>49</v>
      </c>
      <c r="G547">
        <v>588</v>
      </c>
      <c r="H547">
        <v>99.75</v>
      </c>
      <c r="I547">
        <v>-58653</v>
      </c>
      <c r="K547">
        <v>99.75</v>
      </c>
      <c r="L547">
        <v>-58653</v>
      </c>
      <c r="M547" t="s">
        <v>422</v>
      </c>
      <c r="N547" t="s">
        <v>421</v>
      </c>
    </row>
    <row r="548" spans="1:14" x14ac:dyDescent="0.25">
      <c r="A548" s="18">
        <v>45936</v>
      </c>
      <c r="B548" t="s">
        <v>289</v>
      </c>
      <c r="C548" t="s">
        <v>484</v>
      </c>
      <c r="D548" t="s">
        <v>30</v>
      </c>
      <c r="E548" t="s">
        <v>31</v>
      </c>
      <c r="F548" t="s">
        <v>21</v>
      </c>
      <c r="G548">
        <v>337</v>
      </c>
      <c r="H548">
        <v>148.78129999999999</v>
      </c>
      <c r="I548">
        <v>-50139.298099999993</v>
      </c>
      <c r="K548">
        <v>148.78129999999999</v>
      </c>
      <c r="L548">
        <v>-50139.298099999993</v>
      </c>
      <c r="M548" t="s">
        <v>30</v>
      </c>
      <c r="N548" t="s">
        <v>484</v>
      </c>
    </row>
    <row r="549" spans="1:14" x14ac:dyDescent="0.25">
      <c r="A549" s="18">
        <v>45936</v>
      </c>
      <c r="B549" t="s">
        <v>289</v>
      </c>
      <c r="C549" t="s">
        <v>290</v>
      </c>
      <c r="D549" t="s">
        <v>45</v>
      </c>
      <c r="E549" t="s">
        <v>46</v>
      </c>
      <c r="F549" t="s">
        <v>21</v>
      </c>
      <c r="G549">
        <v>1103</v>
      </c>
      <c r="H549">
        <v>45.44</v>
      </c>
      <c r="I549">
        <v>-50120.32</v>
      </c>
      <c r="K549">
        <v>45.44</v>
      </c>
      <c r="L549">
        <v>-50120.32</v>
      </c>
      <c r="M549" t="s">
        <v>45</v>
      </c>
      <c r="N549" t="s">
        <v>290</v>
      </c>
    </row>
    <row r="550" spans="1:14" x14ac:dyDescent="0.25">
      <c r="A550" s="18">
        <v>45936</v>
      </c>
      <c r="B550" t="s">
        <v>289</v>
      </c>
      <c r="C550" t="s">
        <v>290</v>
      </c>
      <c r="D550" t="s">
        <v>45</v>
      </c>
      <c r="E550" t="s">
        <v>46</v>
      </c>
      <c r="F550" t="s">
        <v>21</v>
      </c>
      <c r="G550">
        <v>1132</v>
      </c>
      <c r="H550">
        <v>44.2346</v>
      </c>
      <c r="I550">
        <v>-50073.567199999998</v>
      </c>
      <c r="K550">
        <v>44.2346</v>
      </c>
      <c r="L550">
        <v>-50073.567199999998</v>
      </c>
      <c r="M550" t="s">
        <v>45</v>
      </c>
      <c r="N550" t="s">
        <v>290</v>
      </c>
    </row>
    <row r="551" spans="1:14" x14ac:dyDescent="0.25">
      <c r="A551" s="18">
        <v>45936</v>
      </c>
      <c r="B551" t="s">
        <v>289</v>
      </c>
      <c r="C551" t="s">
        <v>579</v>
      </c>
      <c r="D551" t="s">
        <v>580</v>
      </c>
      <c r="E551" t="s">
        <v>581</v>
      </c>
      <c r="F551" t="s">
        <v>49</v>
      </c>
      <c r="G551">
        <v>318</v>
      </c>
      <c r="H551">
        <v>184.85</v>
      </c>
      <c r="I551">
        <v>-58782.299999999996</v>
      </c>
      <c r="K551">
        <v>184.85</v>
      </c>
      <c r="L551">
        <v>-58782.299999999996</v>
      </c>
      <c r="M551" t="s">
        <v>580</v>
      </c>
      <c r="N551" t="s">
        <v>579</v>
      </c>
    </row>
    <row r="552" spans="1:14" x14ac:dyDescent="0.25">
      <c r="A552" s="18">
        <v>45936</v>
      </c>
      <c r="B552" t="s">
        <v>289</v>
      </c>
      <c r="C552" t="s">
        <v>587</v>
      </c>
      <c r="D552" t="s">
        <v>588</v>
      </c>
      <c r="E552" t="s">
        <v>589</v>
      </c>
      <c r="F552" t="s">
        <v>21</v>
      </c>
      <c r="G552">
        <v>6458</v>
      </c>
      <c r="H552">
        <v>11.6272</v>
      </c>
      <c r="I552">
        <v>-75088.457599999994</v>
      </c>
      <c r="K552">
        <v>11.627199999999998</v>
      </c>
      <c r="L552">
        <v>-75088.457599999994</v>
      </c>
      <c r="M552" t="s">
        <v>588</v>
      </c>
      <c r="N552" t="s">
        <v>587</v>
      </c>
    </row>
    <row r="553" spans="1:14" x14ac:dyDescent="0.25">
      <c r="A553" s="18">
        <v>45936</v>
      </c>
      <c r="B553" t="s">
        <v>289</v>
      </c>
      <c r="C553" t="s">
        <v>294</v>
      </c>
      <c r="D553" t="s">
        <v>80</v>
      </c>
      <c r="E553" t="s">
        <v>505</v>
      </c>
      <c r="F553" t="s">
        <v>82</v>
      </c>
      <c r="G553">
        <v>715</v>
      </c>
      <c r="H553">
        <v>65.09</v>
      </c>
      <c r="I553">
        <v>-46539.350000000006</v>
      </c>
      <c r="K553">
        <v>65.09</v>
      </c>
      <c r="L553">
        <v>-46539.350000000006</v>
      </c>
      <c r="M553" t="s">
        <v>80</v>
      </c>
      <c r="N553" t="s">
        <v>294</v>
      </c>
    </row>
    <row r="554" spans="1:14" x14ac:dyDescent="0.25">
      <c r="A554" s="18">
        <v>45936</v>
      </c>
      <c r="B554" t="s">
        <v>289</v>
      </c>
      <c r="C554" t="s">
        <v>316</v>
      </c>
      <c r="D554" t="s">
        <v>317</v>
      </c>
      <c r="E554" t="s">
        <v>274</v>
      </c>
      <c r="F554" t="s">
        <v>21</v>
      </c>
      <c r="G554">
        <v>893</v>
      </c>
      <c r="H554">
        <v>56.1</v>
      </c>
      <c r="I554">
        <v>-50097.3</v>
      </c>
      <c r="K554">
        <v>56.1</v>
      </c>
      <c r="L554">
        <v>-50097.3</v>
      </c>
      <c r="M554" t="s">
        <v>317</v>
      </c>
      <c r="N554" t="s">
        <v>316</v>
      </c>
    </row>
    <row r="555" spans="1:14" x14ac:dyDescent="0.25">
      <c r="A555" s="18">
        <v>45936</v>
      </c>
      <c r="B555" t="s">
        <v>289</v>
      </c>
      <c r="C555" t="s">
        <v>404</v>
      </c>
      <c r="D555" t="s">
        <v>405</v>
      </c>
      <c r="E555" t="s">
        <v>261</v>
      </c>
      <c r="F555" t="s">
        <v>21</v>
      </c>
      <c r="G555">
        <v>1388</v>
      </c>
      <c r="H555">
        <v>36.034399999999998</v>
      </c>
      <c r="I555">
        <v>-50015.747199999998</v>
      </c>
      <c r="K555">
        <v>36.034399999999998</v>
      </c>
      <c r="L555">
        <v>-50015.747199999998</v>
      </c>
      <c r="M555" t="s">
        <v>405</v>
      </c>
      <c r="N555" t="s">
        <v>404</v>
      </c>
    </row>
    <row r="556" spans="1:14" x14ac:dyDescent="0.25">
      <c r="A556" s="18">
        <v>45936</v>
      </c>
      <c r="B556" t="s">
        <v>319</v>
      </c>
      <c r="C556" t="s">
        <v>524</v>
      </c>
      <c r="D556" t="s">
        <v>525</v>
      </c>
      <c r="E556" t="s">
        <v>526</v>
      </c>
      <c r="F556" t="s">
        <v>21</v>
      </c>
      <c r="G556">
        <v>-2</v>
      </c>
      <c r="H556">
        <v>120.85</v>
      </c>
      <c r="I556">
        <v>241700</v>
      </c>
      <c r="K556">
        <v>120.85</v>
      </c>
      <c r="L556">
        <v>241700</v>
      </c>
      <c r="M556" t="s">
        <v>525</v>
      </c>
      <c r="N556" t="s">
        <v>524</v>
      </c>
    </row>
    <row r="557" spans="1:14" x14ac:dyDescent="0.25">
      <c r="A557" s="18">
        <v>45936</v>
      </c>
      <c r="B557" t="s">
        <v>289</v>
      </c>
      <c r="C557" t="s">
        <v>548</v>
      </c>
      <c r="D557" t="s">
        <v>549</v>
      </c>
      <c r="E557" t="s">
        <v>550</v>
      </c>
      <c r="F557" t="s">
        <v>21</v>
      </c>
      <c r="G557">
        <v>11210</v>
      </c>
      <c r="H557">
        <v>4.4943999999999997</v>
      </c>
      <c r="I557">
        <v>-50382.223999999995</v>
      </c>
      <c r="K557">
        <v>4.4943999999999997</v>
      </c>
      <c r="L557">
        <v>-50382.223999999995</v>
      </c>
      <c r="M557" t="s">
        <v>549</v>
      </c>
      <c r="N557" t="s">
        <v>548</v>
      </c>
    </row>
    <row r="558" spans="1:14" x14ac:dyDescent="0.25">
      <c r="A558" s="18">
        <v>45936</v>
      </c>
      <c r="B558" t="s">
        <v>289</v>
      </c>
      <c r="C558" t="s">
        <v>582</v>
      </c>
      <c r="D558" t="s">
        <v>83</v>
      </c>
      <c r="E558" t="s">
        <v>583</v>
      </c>
      <c r="F558" t="s">
        <v>82</v>
      </c>
      <c r="G558">
        <v>307</v>
      </c>
      <c r="H558">
        <v>153.19999999999999</v>
      </c>
      <c r="I558">
        <v>-47032.399999999994</v>
      </c>
      <c r="K558">
        <v>153.19999999999999</v>
      </c>
      <c r="L558">
        <v>-47032.399999999994</v>
      </c>
      <c r="M558" t="s">
        <v>83</v>
      </c>
      <c r="N558" t="s">
        <v>582</v>
      </c>
    </row>
    <row r="559" spans="1:14" x14ac:dyDescent="0.25">
      <c r="A559" s="18">
        <v>45936</v>
      </c>
      <c r="B559" t="s">
        <v>289</v>
      </c>
      <c r="C559" t="s">
        <v>582</v>
      </c>
      <c r="D559" t="s">
        <v>83</v>
      </c>
      <c r="E559" t="s">
        <v>583</v>
      </c>
      <c r="F559" t="s">
        <v>82</v>
      </c>
      <c r="G559">
        <v>609</v>
      </c>
      <c r="H559">
        <v>153.50899999999999</v>
      </c>
      <c r="I559">
        <v>-93486.980999999985</v>
      </c>
      <c r="K559">
        <v>153.50899999999999</v>
      </c>
      <c r="L559">
        <v>-93486.980999999985</v>
      </c>
      <c r="M559" t="s">
        <v>83</v>
      </c>
      <c r="N559" t="s">
        <v>582</v>
      </c>
    </row>
    <row r="560" spans="1:14" x14ac:dyDescent="0.25">
      <c r="A560" s="18">
        <v>45936</v>
      </c>
      <c r="B560" t="s">
        <v>319</v>
      </c>
      <c r="C560" t="s">
        <v>566</v>
      </c>
      <c r="D560" t="s">
        <v>567</v>
      </c>
      <c r="E560" t="s">
        <v>568</v>
      </c>
      <c r="F560" t="s">
        <v>21</v>
      </c>
      <c r="G560">
        <v>-5</v>
      </c>
      <c r="H560">
        <v>7960.5</v>
      </c>
      <c r="I560">
        <v>398025</v>
      </c>
      <c r="K560">
        <v>7960.5</v>
      </c>
      <c r="L560">
        <v>398025</v>
      </c>
      <c r="M560" t="s">
        <v>567</v>
      </c>
      <c r="N560" t="s">
        <v>566</v>
      </c>
    </row>
    <row r="561" spans="1:14" x14ac:dyDescent="0.25">
      <c r="A561" s="18">
        <v>45937</v>
      </c>
      <c r="B561" t="s">
        <v>289</v>
      </c>
      <c r="C561" t="s">
        <v>328</v>
      </c>
      <c r="D561" t="s">
        <v>329</v>
      </c>
      <c r="E561" t="s">
        <v>330</v>
      </c>
      <c r="F561" t="s">
        <v>21</v>
      </c>
      <c r="G561">
        <v>27</v>
      </c>
      <c r="H561">
        <v>1872.5</v>
      </c>
      <c r="I561">
        <v>-50557.5</v>
      </c>
      <c r="K561">
        <v>1872.5</v>
      </c>
      <c r="L561">
        <v>-50557.5</v>
      </c>
      <c r="M561" t="s">
        <v>329</v>
      </c>
      <c r="N561" t="s">
        <v>328</v>
      </c>
    </row>
    <row r="562" spans="1:14" x14ac:dyDescent="0.25">
      <c r="A562" s="18">
        <v>45937</v>
      </c>
      <c r="B562" t="s">
        <v>289</v>
      </c>
      <c r="C562" t="s">
        <v>325</v>
      </c>
      <c r="D562" t="s">
        <v>47</v>
      </c>
      <c r="E562" t="s">
        <v>48</v>
      </c>
      <c r="F562" t="s">
        <v>36</v>
      </c>
      <c r="G562">
        <v>987</v>
      </c>
      <c r="H562">
        <v>88.191299999999998</v>
      </c>
      <c r="I562">
        <v>-87044.813099999999</v>
      </c>
      <c r="K562">
        <v>88.191299999999998</v>
      </c>
      <c r="L562">
        <v>-87044.813099999999</v>
      </c>
      <c r="M562" t="s">
        <v>47</v>
      </c>
      <c r="N562" t="s">
        <v>325</v>
      </c>
    </row>
    <row r="563" spans="1:14" x14ac:dyDescent="0.25">
      <c r="A563" s="18">
        <v>45938</v>
      </c>
      <c r="B563" t="s">
        <v>289</v>
      </c>
      <c r="C563" t="s">
        <v>421</v>
      </c>
      <c r="D563" t="s">
        <v>422</v>
      </c>
      <c r="E563" t="s">
        <v>423</v>
      </c>
      <c r="F563" t="s">
        <v>49</v>
      </c>
      <c r="G563">
        <v>591</v>
      </c>
      <c r="H563">
        <v>98.655000000000001</v>
      </c>
      <c r="I563">
        <v>-58305.105000000003</v>
      </c>
      <c r="K563">
        <v>98.655000000000001</v>
      </c>
      <c r="L563">
        <v>-58305.105000000003</v>
      </c>
      <c r="M563" t="s">
        <v>422</v>
      </c>
      <c r="N563" t="s">
        <v>421</v>
      </c>
    </row>
    <row r="564" spans="1:14" x14ac:dyDescent="0.25">
      <c r="A564" s="18">
        <v>45938</v>
      </c>
      <c r="B564" t="s">
        <v>319</v>
      </c>
      <c r="C564" t="s">
        <v>572</v>
      </c>
      <c r="D564" t="s">
        <v>87</v>
      </c>
      <c r="E564" t="s">
        <v>88</v>
      </c>
      <c r="F564" t="s">
        <v>82</v>
      </c>
      <c r="G564">
        <v>-270</v>
      </c>
      <c r="H564">
        <v>173.1</v>
      </c>
      <c r="I564">
        <v>46737</v>
      </c>
      <c r="K564">
        <v>173.1</v>
      </c>
      <c r="L564">
        <v>46737</v>
      </c>
      <c r="M564" t="s">
        <v>87</v>
      </c>
      <c r="N564" t="s">
        <v>572</v>
      </c>
    </row>
    <row r="565" spans="1:14" x14ac:dyDescent="0.25">
      <c r="A565" s="18">
        <v>45938</v>
      </c>
      <c r="B565" t="s">
        <v>289</v>
      </c>
      <c r="C565" t="s">
        <v>325</v>
      </c>
      <c r="D565" t="s">
        <v>47</v>
      </c>
      <c r="E565" t="s">
        <v>48</v>
      </c>
      <c r="F565" t="s">
        <v>36</v>
      </c>
      <c r="G565">
        <v>995</v>
      </c>
      <c r="H565">
        <v>87.299400000000006</v>
      </c>
      <c r="I565">
        <v>-86862.903000000006</v>
      </c>
      <c r="K565">
        <v>87.299400000000006</v>
      </c>
      <c r="L565">
        <v>-86862.903000000006</v>
      </c>
      <c r="M565" t="s">
        <v>47</v>
      </c>
      <c r="N565" t="s">
        <v>325</v>
      </c>
    </row>
    <row r="566" spans="1:14" x14ac:dyDescent="0.25">
      <c r="A566" s="18">
        <v>45939</v>
      </c>
      <c r="B566" t="s">
        <v>289</v>
      </c>
      <c r="C566" t="s">
        <v>484</v>
      </c>
      <c r="D566" t="s">
        <v>30</v>
      </c>
      <c r="E566" t="s">
        <v>31</v>
      </c>
      <c r="F566" t="s">
        <v>21</v>
      </c>
      <c r="G566">
        <v>341</v>
      </c>
      <c r="H566">
        <v>146.7088</v>
      </c>
      <c r="I566">
        <v>-50027.700799999999</v>
      </c>
      <c r="K566">
        <v>146.7088</v>
      </c>
      <c r="L566">
        <v>-50027.700799999999</v>
      </c>
      <c r="M566" t="s">
        <v>30</v>
      </c>
      <c r="N566" t="s">
        <v>484</v>
      </c>
    </row>
    <row r="567" spans="1:14" x14ac:dyDescent="0.25">
      <c r="A567" s="18">
        <v>45939</v>
      </c>
      <c r="B567" t="s">
        <v>289</v>
      </c>
      <c r="C567" t="s">
        <v>290</v>
      </c>
      <c r="D567" t="s">
        <v>45</v>
      </c>
      <c r="E567" t="s">
        <v>46</v>
      </c>
      <c r="F567" t="s">
        <v>21</v>
      </c>
      <c r="G567">
        <v>2166</v>
      </c>
      <c r="H567">
        <v>46.347299999999997</v>
      </c>
      <c r="I567">
        <v>-100388.2518</v>
      </c>
      <c r="K567">
        <v>46.347299999999997</v>
      </c>
      <c r="L567">
        <v>-100388.2518</v>
      </c>
      <c r="M567" t="s">
        <v>45</v>
      </c>
      <c r="N567" t="s">
        <v>290</v>
      </c>
    </row>
    <row r="568" spans="1:14" x14ac:dyDescent="0.25">
      <c r="A568" s="18">
        <v>45939</v>
      </c>
      <c r="B568" t="s">
        <v>319</v>
      </c>
      <c r="C568" t="s">
        <v>572</v>
      </c>
      <c r="D568" t="s">
        <v>87</v>
      </c>
      <c r="E568" t="s">
        <v>88</v>
      </c>
      <c r="F568" t="s">
        <v>82</v>
      </c>
      <c r="G568">
        <v>-536</v>
      </c>
      <c r="H568">
        <v>173.35</v>
      </c>
      <c r="I568">
        <v>92915.599999999991</v>
      </c>
      <c r="K568">
        <v>173.35</v>
      </c>
      <c r="L568">
        <v>92915.599999999991</v>
      </c>
      <c r="M568" t="s">
        <v>87</v>
      </c>
      <c r="N568" t="s">
        <v>572</v>
      </c>
    </row>
    <row r="569" spans="1:14" x14ac:dyDescent="0.25">
      <c r="A569" s="18">
        <v>45939</v>
      </c>
      <c r="B569" t="s">
        <v>319</v>
      </c>
      <c r="C569" t="s">
        <v>572</v>
      </c>
      <c r="D569" t="s">
        <v>87</v>
      </c>
      <c r="E569" t="s">
        <v>88</v>
      </c>
      <c r="F569" t="s">
        <v>82</v>
      </c>
      <c r="G569">
        <v>-774</v>
      </c>
      <c r="H569">
        <v>172.8</v>
      </c>
      <c r="I569">
        <v>133747.20000000001</v>
      </c>
      <c r="K569">
        <v>172.8</v>
      </c>
      <c r="L569">
        <v>133747.20000000001</v>
      </c>
      <c r="M569" t="s">
        <v>87</v>
      </c>
      <c r="N569" t="s">
        <v>572</v>
      </c>
    </row>
    <row r="570" spans="1:14" x14ac:dyDescent="0.25">
      <c r="A570" s="18">
        <v>45939</v>
      </c>
      <c r="B570" t="s">
        <v>319</v>
      </c>
      <c r="C570" t="s">
        <v>590</v>
      </c>
      <c r="D570" t="s">
        <v>591</v>
      </c>
      <c r="E570" t="s">
        <v>592</v>
      </c>
      <c r="F570" t="s">
        <v>21</v>
      </c>
      <c r="G570">
        <v>-3</v>
      </c>
      <c r="H570">
        <v>15612</v>
      </c>
      <c r="I570">
        <v>468360</v>
      </c>
      <c r="K570">
        <v>15612</v>
      </c>
      <c r="L570">
        <v>468360</v>
      </c>
      <c r="M570" t="s">
        <v>591</v>
      </c>
      <c r="N570" t="s">
        <v>590</v>
      </c>
    </row>
    <row r="571" spans="1:14" x14ac:dyDescent="0.25">
      <c r="A571" s="18">
        <v>45939</v>
      </c>
      <c r="B571" t="s">
        <v>289</v>
      </c>
      <c r="C571" t="s">
        <v>450</v>
      </c>
      <c r="D571" t="s">
        <v>116</v>
      </c>
      <c r="E571" t="s">
        <v>451</v>
      </c>
      <c r="F571" t="s">
        <v>21</v>
      </c>
      <c r="G571">
        <v>6370</v>
      </c>
      <c r="H571">
        <v>7.7270000000000003</v>
      </c>
      <c r="I571">
        <v>-49220.990000000005</v>
      </c>
      <c r="K571">
        <v>7.7270000000000012</v>
      </c>
      <c r="L571">
        <v>-49220.990000000005</v>
      </c>
      <c r="M571" t="s">
        <v>116</v>
      </c>
      <c r="N571" t="s">
        <v>450</v>
      </c>
    </row>
    <row r="572" spans="1:14" x14ac:dyDescent="0.25">
      <c r="A572" s="18">
        <v>45939</v>
      </c>
      <c r="B572" t="s">
        <v>319</v>
      </c>
      <c r="C572" t="s">
        <v>557</v>
      </c>
      <c r="D572" t="s">
        <v>558</v>
      </c>
      <c r="E572" t="s">
        <v>559</v>
      </c>
      <c r="F572" t="s">
        <v>21</v>
      </c>
      <c r="G572">
        <v>-7</v>
      </c>
      <c r="H572">
        <v>5641</v>
      </c>
      <c r="I572">
        <v>394870</v>
      </c>
      <c r="K572">
        <v>5641</v>
      </c>
      <c r="L572">
        <v>394870</v>
      </c>
      <c r="M572" t="s">
        <v>558</v>
      </c>
      <c r="N572" t="s">
        <v>557</v>
      </c>
    </row>
    <row r="573" spans="1:14" x14ac:dyDescent="0.25">
      <c r="A573" s="18">
        <v>45939</v>
      </c>
      <c r="B573" t="s">
        <v>289</v>
      </c>
      <c r="C573" t="s">
        <v>342</v>
      </c>
      <c r="D573" t="s">
        <v>343</v>
      </c>
      <c r="E573" t="s">
        <v>282</v>
      </c>
      <c r="F573" t="s">
        <v>21</v>
      </c>
      <c r="G573">
        <v>1104</v>
      </c>
      <c r="H573">
        <v>90.768299999999996</v>
      </c>
      <c r="I573">
        <v>-100208.20319999999</v>
      </c>
      <c r="K573">
        <v>90.768299999999996</v>
      </c>
      <c r="L573">
        <v>-100208.20319999999</v>
      </c>
      <c r="M573" t="s">
        <v>343</v>
      </c>
      <c r="N573" t="s">
        <v>342</v>
      </c>
    </row>
    <row r="574" spans="1:14" x14ac:dyDescent="0.25">
      <c r="A574" s="18">
        <v>45939</v>
      </c>
      <c r="B574" t="s">
        <v>289</v>
      </c>
      <c r="C574" t="s">
        <v>582</v>
      </c>
      <c r="D574" t="s">
        <v>83</v>
      </c>
      <c r="E574" t="s">
        <v>583</v>
      </c>
      <c r="F574" t="s">
        <v>82</v>
      </c>
      <c r="G574">
        <v>593</v>
      </c>
      <c r="H574">
        <v>157.6</v>
      </c>
      <c r="I574">
        <v>-93456.8</v>
      </c>
      <c r="K574">
        <v>157.6</v>
      </c>
      <c r="L574">
        <v>-93456.8</v>
      </c>
      <c r="M574" t="s">
        <v>83</v>
      </c>
      <c r="N574" t="s">
        <v>582</v>
      </c>
    </row>
    <row r="575" spans="1:14" x14ac:dyDescent="0.25">
      <c r="A575" s="18">
        <v>45939</v>
      </c>
      <c r="B575" t="s">
        <v>289</v>
      </c>
      <c r="C575" t="s">
        <v>582</v>
      </c>
      <c r="D575" t="s">
        <v>83</v>
      </c>
      <c r="E575" t="s">
        <v>583</v>
      </c>
      <c r="F575" t="s">
        <v>82</v>
      </c>
      <c r="G575">
        <v>451</v>
      </c>
      <c r="H575">
        <v>155.07499999999999</v>
      </c>
      <c r="I575">
        <v>-69938.824999999997</v>
      </c>
      <c r="K575">
        <v>155.07499999999999</v>
      </c>
      <c r="L575">
        <v>-69938.824999999997</v>
      </c>
      <c r="M575" t="s">
        <v>83</v>
      </c>
      <c r="N575" t="s">
        <v>582</v>
      </c>
    </row>
    <row r="576" spans="1:14" x14ac:dyDescent="0.25">
      <c r="A576" s="18">
        <v>45939</v>
      </c>
      <c r="B576" t="s">
        <v>289</v>
      </c>
      <c r="C576" t="s">
        <v>566</v>
      </c>
      <c r="D576" t="s">
        <v>567</v>
      </c>
      <c r="E576" t="s">
        <v>568</v>
      </c>
      <c r="F576" t="s">
        <v>21</v>
      </c>
      <c r="G576">
        <v>5</v>
      </c>
      <c r="H576">
        <v>8077.5</v>
      </c>
      <c r="I576">
        <v>-403875</v>
      </c>
      <c r="K576">
        <v>8077.5</v>
      </c>
      <c r="L576">
        <v>-403875</v>
      </c>
      <c r="M576" t="s">
        <v>567</v>
      </c>
      <c r="N576" t="s">
        <v>566</v>
      </c>
    </row>
    <row r="577" spans="1:14" x14ac:dyDescent="0.25">
      <c r="A577" s="18">
        <v>45939</v>
      </c>
      <c r="B577" t="s">
        <v>289</v>
      </c>
      <c r="C577" t="s">
        <v>435</v>
      </c>
      <c r="D577" t="s">
        <v>99</v>
      </c>
      <c r="E577" t="s">
        <v>100</v>
      </c>
      <c r="F577" t="s">
        <v>21</v>
      </c>
      <c r="G577">
        <v>11461</v>
      </c>
      <c r="H577">
        <v>8.7240000000000002</v>
      </c>
      <c r="I577">
        <v>-99985.763999999996</v>
      </c>
      <c r="K577">
        <v>8.7240000000000002</v>
      </c>
      <c r="L577">
        <v>-99985.763999999996</v>
      </c>
      <c r="M577" t="s">
        <v>99</v>
      </c>
      <c r="N577" t="s">
        <v>435</v>
      </c>
    </row>
    <row r="578" spans="1:14" x14ac:dyDescent="0.25">
      <c r="A578" s="18">
        <v>45940</v>
      </c>
      <c r="B578" t="s">
        <v>319</v>
      </c>
      <c r="C578" t="s">
        <v>477</v>
      </c>
      <c r="D578" t="s">
        <v>478</v>
      </c>
      <c r="E578" t="s">
        <v>277</v>
      </c>
      <c r="F578" t="s">
        <v>157</v>
      </c>
      <c r="G578">
        <v>-10180</v>
      </c>
      <c r="H578">
        <v>132.17670000000001</v>
      </c>
      <c r="I578">
        <v>1345558.8060000001</v>
      </c>
      <c r="K578">
        <v>132.17670000000001</v>
      </c>
      <c r="L578">
        <v>1345558.8060000001</v>
      </c>
      <c r="M578" t="s">
        <v>478</v>
      </c>
      <c r="N578" t="s">
        <v>477</v>
      </c>
    </row>
    <row r="579" spans="1:14" x14ac:dyDescent="0.25">
      <c r="A579" s="18">
        <v>45940</v>
      </c>
      <c r="B579" t="s">
        <v>319</v>
      </c>
      <c r="C579" t="s">
        <v>290</v>
      </c>
      <c r="D579" t="s">
        <v>45</v>
      </c>
      <c r="E579" t="s">
        <v>46</v>
      </c>
      <c r="F579" t="s">
        <v>21</v>
      </c>
      <c r="G579">
        <v>-10665</v>
      </c>
      <c r="H579">
        <v>46.98</v>
      </c>
      <c r="I579">
        <v>501041.69999999995</v>
      </c>
      <c r="K579">
        <v>46.98</v>
      </c>
      <c r="L579">
        <v>501041.69999999995</v>
      </c>
      <c r="M579" t="s">
        <v>45</v>
      </c>
      <c r="N579" t="s">
        <v>290</v>
      </c>
    </row>
    <row r="580" spans="1:14" x14ac:dyDescent="0.25">
      <c r="A580" s="18">
        <v>45940</v>
      </c>
      <c r="B580" t="s">
        <v>319</v>
      </c>
      <c r="C580" t="s">
        <v>493</v>
      </c>
      <c r="D580" t="s">
        <v>28</v>
      </c>
      <c r="E580" t="s">
        <v>29</v>
      </c>
      <c r="F580" t="s">
        <v>21</v>
      </c>
      <c r="G580">
        <v>-601</v>
      </c>
      <c r="H580">
        <v>249.85</v>
      </c>
      <c r="I580">
        <v>150159.85</v>
      </c>
      <c r="K580">
        <v>249.85000000000002</v>
      </c>
      <c r="L580">
        <v>150159.85</v>
      </c>
      <c r="M580" t="s">
        <v>28</v>
      </c>
      <c r="N580" t="s">
        <v>493</v>
      </c>
    </row>
    <row r="581" spans="1:14" x14ac:dyDescent="0.25">
      <c r="A581" s="18">
        <v>45940</v>
      </c>
      <c r="B581" t="s">
        <v>289</v>
      </c>
      <c r="C581" t="s">
        <v>573</v>
      </c>
      <c r="D581" t="s">
        <v>124</v>
      </c>
      <c r="E581" t="s">
        <v>574</v>
      </c>
      <c r="F581" t="s">
        <v>21</v>
      </c>
      <c r="G581">
        <v>12000</v>
      </c>
      <c r="H581">
        <v>110.29</v>
      </c>
      <c r="I581">
        <v>-1323480</v>
      </c>
      <c r="K581">
        <v>110.29</v>
      </c>
      <c r="L581">
        <v>-1323480</v>
      </c>
      <c r="M581" t="s">
        <v>124</v>
      </c>
      <c r="N581" t="s">
        <v>573</v>
      </c>
    </row>
    <row r="582" spans="1:14" x14ac:dyDescent="0.25">
      <c r="A582" s="18">
        <v>45940</v>
      </c>
      <c r="B582" t="s">
        <v>319</v>
      </c>
      <c r="C582" t="s">
        <v>436</v>
      </c>
      <c r="D582" t="s">
        <v>437</v>
      </c>
      <c r="E582" t="s">
        <v>262</v>
      </c>
      <c r="F582" t="s">
        <v>21</v>
      </c>
      <c r="G582">
        <v>-4690</v>
      </c>
      <c r="H582">
        <v>32.019199999999998</v>
      </c>
      <c r="I582">
        <v>150170.04799999998</v>
      </c>
      <c r="K582">
        <v>32.019199999999998</v>
      </c>
      <c r="L582">
        <v>150170.04799999998</v>
      </c>
      <c r="M582" t="s">
        <v>437</v>
      </c>
      <c r="N582" t="s">
        <v>436</v>
      </c>
    </row>
    <row r="583" spans="1:14" x14ac:dyDescent="0.25">
      <c r="A583" s="18">
        <v>45940</v>
      </c>
      <c r="B583" t="s">
        <v>319</v>
      </c>
      <c r="C583" t="s">
        <v>539</v>
      </c>
      <c r="D583" t="s">
        <v>540</v>
      </c>
      <c r="E583" t="s">
        <v>541</v>
      </c>
      <c r="F583" t="s">
        <v>21</v>
      </c>
      <c r="G583">
        <v>-1818</v>
      </c>
      <c r="H583">
        <v>83.610699999999994</v>
      </c>
      <c r="I583">
        <v>152004.25259999998</v>
      </c>
      <c r="K583">
        <v>83.610699999999994</v>
      </c>
      <c r="L583">
        <v>152004.25259999998</v>
      </c>
      <c r="M583" t="s">
        <v>540</v>
      </c>
      <c r="N583" t="s">
        <v>539</v>
      </c>
    </row>
    <row r="584" spans="1:14" x14ac:dyDescent="0.25">
      <c r="A584" s="18">
        <v>45940</v>
      </c>
      <c r="B584" t="s">
        <v>319</v>
      </c>
      <c r="C584" t="s">
        <v>316</v>
      </c>
      <c r="D584" t="s">
        <v>317</v>
      </c>
      <c r="E584" t="s">
        <v>274</v>
      </c>
      <c r="F584" t="s">
        <v>21</v>
      </c>
      <c r="G584">
        <v>-5217</v>
      </c>
      <c r="H584">
        <v>57.206600000000002</v>
      </c>
      <c r="I584">
        <v>298446.8322</v>
      </c>
      <c r="K584">
        <v>57.206600000000002</v>
      </c>
      <c r="L584">
        <v>298446.8322</v>
      </c>
      <c r="M584" t="s">
        <v>317</v>
      </c>
      <c r="N584" t="s">
        <v>316</v>
      </c>
    </row>
    <row r="585" spans="1:14" x14ac:dyDescent="0.25">
      <c r="A585" s="18">
        <v>45940</v>
      </c>
      <c r="B585" t="s">
        <v>319</v>
      </c>
      <c r="C585" t="s">
        <v>404</v>
      </c>
      <c r="D585" t="s">
        <v>405</v>
      </c>
      <c r="E585" t="s">
        <v>261</v>
      </c>
      <c r="F585" t="s">
        <v>21</v>
      </c>
      <c r="G585">
        <v>-4126</v>
      </c>
      <c r="H585">
        <v>36.039499999999997</v>
      </c>
      <c r="I585">
        <v>148698.97699999998</v>
      </c>
      <c r="K585">
        <v>36.039499999999997</v>
      </c>
      <c r="L585">
        <v>148698.97699999998</v>
      </c>
      <c r="M585" t="s">
        <v>405</v>
      </c>
      <c r="N585" t="s">
        <v>404</v>
      </c>
    </row>
    <row r="586" spans="1:14" x14ac:dyDescent="0.25">
      <c r="A586" s="18">
        <v>45940</v>
      </c>
      <c r="B586" t="s">
        <v>319</v>
      </c>
      <c r="C586" t="s">
        <v>323</v>
      </c>
      <c r="D586" t="s">
        <v>39</v>
      </c>
      <c r="E586" t="s">
        <v>40</v>
      </c>
      <c r="F586" t="s">
        <v>36</v>
      </c>
      <c r="G586">
        <v>-5082</v>
      </c>
      <c r="H586">
        <v>23.02</v>
      </c>
      <c r="I586">
        <v>116987.64</v>
      </c>
      <c r="K586">
        <v>23.02</v>
      </c>
      <c r="L586">
        <v>116987.64</v>
      </c>
      <c r="M586" t="s">
        <v>39</v>
      </c>
      <c r="N586" t="s">
        <v>323</v>
      </c>
    </row>
    <row r="587" spans="1:14" x14ac:dyDescent="0.25">
      <c r="A587" s="18">
        <v>45940</v>
      </c>
      <c r="B587" t="s">
        <v>319</v>
      </c>
      <c r="C587" t="s">
        <v>536</v>
      </c>
      <c r="D587" t="s">
        <v>537</v>
      </c>
      <c r="E587" t="s">
        <v>538</v>
      </c>
      <c r="F587" t="s">
        <v>21</v>
      </c>
      <c r="G587">
        <v>-2870</v>
      </c>
      <c r="H587">
        <v>76.75</v>
      </c>
      <c r="I587">
        <v>220272.5</v>
      </c>
      <c r="K587">
        <v>76.75</v>
      </c>
      <c r="L587">
        <v>220272.5</v>
      </c>
      <c r="M587" t="s">
        <v>537</v>
      </c>
      <c r="N587" t="s">
        <v>536</v>
      </c>
    </row>
    <row r="588" spans="1:14" x14ac:dyDescent="0.25">
      <c r="A588" s="18">
        <v>45940</v>
      </c>
      <c r="B588" t="s">
        <v>289</v>
      </c>
      <c r="C588" t="s">
        <v>575</v>
      </c>
      <c r="D588" t="s">
        <v>576</v>
      </c>
      <c r="E588" t="s">
        <v>577</v>
      </c>
      <c r="F588" t="s">
        <v>21</v>
      </c>
      <c r="G588">
        <v>15</v>
      </c>
      <c r="H588">
        <v>22243.279999999999</v>
      </c>
      <c r="I588">
        <v>-333649.19999999995</v>
      </c>
      <c r="K588">
        <v>22243.279999999995</v>
      </c>
      <c r="L588">
        <v>-333649.19999999995</v>
      </c>
      <c r="M588" t="s">
        <v>576</v>
      </c>
      <c r="N588" t="s">
        <v>575</v>
      </c>
    </row>
    <row r="589" spans="1:14" x14ac:dyDescent="0.25">
      <c r="A589" s="18">
        <v>45940</v>
      </c>
      <c r="B589" t="s">
        <v>319</v>
      </c>
      <c r="C589" t="s">
        <v>342</v>
      </c>
      <c r="D589" t="s">
        <v>343</v>
      </c>
      <c r="E589" t="s">
        <v>282</v>
      </c>
      <c r="F589" t="s">
        <v>21</v>
      </c>
      <c r="G589">
        <v>-1315</v>
      </c>
      <c r="H589">
        <v>89.868399999999994</v>
      </c>
      <c r="I589">
        <v>118176.946</v>
      </c>
      <c r="K589">
        <v>89.868399999999994</v>
      </c>
      <c r="L589">
        <v>118176.946</v>
      </c>
      <c r="M589" t="s">
        <v>343</v>
      </c>
      <c r="N589" t="s">
        <v>342</v>
      </c>
    </row>
    <row r="590" spans="1:14" x14ac:dyDescent="0.25">
      <c r="A590" s="18">
        <v>45940</v>
      </c>
      <c r="B590" t="s">
        <v>319</v>
      </c>
      <c r="C590" t="s">
        <v>548</v>
      </c>
      <c r="D590" t="s">
        <v>549</v>
      </c>
      <c r="E590" t="s">
        <v>550</v>
      </c>
      <c r="F590" t="s">
        <v>21</v>
      </c>
      <c r="G590">
        <v>-44544</v>
      </c>
      <c r="H590">
        <v>4.6306000000000003</v>
      </c>
      <c r="I590">
        <v>206265.44640000002</v>
      </c>
      <c r="K590">
        <v>4.6306000000000003</v>
      </c>
      <c r="L590">
        <v>206265.44640000002</v>
      </c>
      <c r="M590" t="s">
        <v>549</v>
      </c>
      <c r="N590" t="s">
        <v>548</v>
      </c>
    </row>
    <row r="591" spans="1:14" x14ac:dyDescent="0.25">
      <c r="A591" s="18">
        <v>45940</v>
      </c>
      <c r="B591" t="s">
        <v>319</v>
      </c>
      <c r="C591" t="s">
        <v>582</v>
      </c>
      <c r="D591" t="s">
        <v>83</v>
      </c>
      <c r="E591" t="s">
        <v>583</v>
      </c>
      <c r="F591" t="s">
        <v>82</v>
      </c>
      <c r="G591">
        <v>-1353</v>
      </c>
      <c r="H591">
        <v>155.19999999999999</v>
      </c>
      <c r="I591">
        <v>209985.59999999998</v>
      </c>
      <c r="K591">
        <v>155.19999999999999</v>
      </c>
      <c r="L591">
        <v>209985.59999999998</v>
      </c>
      <c r="M591" t="s">
        <v>83</v>
      </c>
      <c r="N591" t="s">
        <v>582</v>
      </c>
    </row>
    <row r="592" spans="1:14" x14ac:dyDescent="0.25">
      <c r="A592" s="18">
        <v>45940</v>
      </c>
      <c r="B592" t="s">
        <v>319</v>
      </c>
      <c r="C592" t="s">
        <v>551</v>
      </c>
      <c r="D592" t="s">
        <v>552</v>
      </c>
      <c r="E592" t="s">
        <v>553</v>
      </c>
      <c r="F592" t="s">
        <v>21</v>
      </c>
      <c r="G592">
        <v>-2734</v>
      </c>
      <c r="H592">
        <v>43.41</v>
      </c>
      <c r="I592">
        <v>118682.93999999999</v>
      </c>
      <c r="K592">
        <v>43.41</v>
      </c>
      <c r="L592">
        <v>118682.93999999999</v>
      </c>
      <c r="M592" t="s">
        <v>552</v>
      </c>
      <c r="N592" t="s">
        <v>551</v>
      </c>
    </row>
    <row r="593" spans="1:14" x14ac:dyDescent="0.25">
      <c r="A593" s="18">
        <v>45940</v>
      </c>
      <c r="B593" t="s">
        <v>319</v>
      </c>
      <c r="C593" t="s">
        <v>435</v>
      </c>
      <c r="D593" t="s">
        <v>99</v>
      </c>
      <c r="E593" t="s">
        <v>100</v>
      </c>
      <c r="F593" t="s">
        <v>21</v>
      </c>
      <c r="G593">
        <v>-17185</v>
      </c>
      <c r="H593">
        <v>8.7218999999999998</v>
      </c>
      <c r="I593">
        <v>149885.85149999999</v>
      </c>
      <c r="K593">
        <v>8.7218999999999998</v>
      </c>
      <c r="L593">
        <v>149885.85149999999</v>
      </c>
      <c r="M593" t="s">
        <v>99</v>
      </c>
      <c r="N593" t="s">
        <v>435</v>
      </c>
    </row>
    <row r="594" spans="1:14" x14ac:dyDescent="0.25">
      <c r="A594" s="18">
        <v>45940</v>
      </c>
      <c r="B594" t="s">
        <v>319</v>
      </c>
      <c r="C594" t="s">
        <v>452</v>
      </c>
      <c r="D594" t="s">
        <v>453</v>
      </c>
      <c r="E594" t="s">
        <v>454</v>
      </c>
      <c r="F594" t="s">
        <v>162</v>
      </c>
      <c r="G594">
        <v>-13125</v>
      </c>
      <c r="H594">
        <v>168.4</v>
      </c>
      <c r="I594">
        <v>2210250</v>
      </c>
      <c r="K594">
        <v>168.4</v>
      </c>
      <c r="L594">
        <v>2210250</v>
      </c>
      <c r="M594" t="s">
        <v>453</v>
      </c>
      <c r="N594" t="s">
        <v>452</v>
      </c>
    </row>
    <row r="595" spans="1:14" x14ac:dyDescent="0.25">
      <c r="A595" s="18">
        <v>45940</v>
      </c>
      <c r="B595" t="s">
        <v>319</v>
      </c>
      <c r="C595" t="s">
        <v>392</v>
      </c>
      <c r="D595" t="s">
        <v>393</v>
      </c>
      <c r="E595" t="s">
        <v>494</v>
      </c>
      <c r="F595" t="s">
        <v>157</v>
      </c>
      <c r="G595">
        <v>-5250</v>
      </c>
      <c r="H595">
        <v>104.2</v>
      </c>
      <c r="I595">
        <v>547050</v>
      </c>
      <c r="K595">
        <v>104.2</v>
      </c>
      <c r="L595">
        <v>547050</v>
      </c>
      <c r="M595" t="s">
        <v>393</v>
      </c>
      <c r="N595" t="s">
        <v>392</v>
      </c>
    </row>
    <row r="596" spans="1:14" x14ac:dyDescent="0.25">
      <c r="A596" s="18">
        <v>45940</v>
      </c>
      <c r="B596" t="s">
        <v>319</v>
      </c>
      <c r="C596" t="s">
        <v>331</v>
      </c>
      <c r="D596" t="s">
        <v>332</v>
      </c>
      <c r="E596" t="s">
        <v>333</v>
      </c>
      <c r="F596" t="s">
        <v>21</v>
      </c>
      <c r="G596">
        <v>-198</v>
      </c>
      <c r="H596">
        <v>1504.2</v>
      </c>
      <c r="I596">
        <v>297831.60000000003</v>
      </c>
      <c r="K596">
        <v>1504.2000000000003</v>
      </c>
      <c r="L596">
        <v>297831.60000000003</v>
      </c>
      <c r="M596" t="s">
        <v>332</v>
      </c>
      <c r="N596" t="s">
        <v>331</v>
      </c>
    </row>
    <row r="597" spans="1:14" x14ac:dyDescent="0.25">
      <c r="A597" s="18">
        <v>45943</v>
      </c>
      <c r="B597" t="s">
        <v>289</v>
      </c>
      <c r="C597" t="s">
        <v>421</v>
      </c>
      <c r="D597" t="s">
        <v>422</v>
      </c>
      <c r="E597" t="s">
        <v>423</v>
      </c>
      <c r="F597" t="s">
        <v>49</v>
      </c>
      <c r="G597">
        <v>617</v>
      </c>
      <c r="H597">
        <v>94.361900000000006</v>
      </c>
      <c r="I597">
        <v>-58221.292300000001</v>
      </c>
      <c r="K597">
        <v>94.361900000000006</v>
      </c>
      <c r="L597">
        <v>-58221.292300000001</v>
      </c>
      <c r="M597" t="s">
        <v>422</v>
      </c>
      <c r="N597" t="s">
        <v>421</v>
      </c>
    </row>
    <row r="598" spans="1:14" x14ac:dyDescent="0.25">
      <c r="A598" s="18">
        <v>45943</v>
      </c>
      <c r="B598" t="s">
        <v>289</v>
      </c>
      <c r="C598" t="s">
        <v>587</v>
      </c>
      <c r="D598" t="s">
        <v>588</v>
      </c>
      <c r="E598" t="s">
        <v>589</v>
      </c>
      <c r="F598" t="s">
        <v>21</v>
      </c>
      <c r="G598">
        <v>8666</v>
      </c>
      <c r="H598">
        <v>11.57</v>
      </c>
      <c r="I598">
        <v>-100265.62</v>
      </c>
      <c r="K598">
        <v>11.57</v>
      </c>
      <c r="L598">
        <v>-100265.62</v>
      </c>
      <c r="M598" t="s">
        <v>588</v>
      </c>
      <c r="N598" t="s">
        <v>587</v>
      </c>
    </row>
    <row r="599" spans="1:14" x14ac:dyDescent="0.25">
      <c r="A599" s="18">
        <v>45943</v>
      </c>
      <c r="B599" t="s">
        <v>319</v>
      </c>
      <c r="C599" t="s">
        <v>489</v>
      </c>
      <c r="D599" t="s">
        <v>66</v>
      </c>
      <c r="E599" t="s">
        <v>67</v>
      </c>
      <c r="F599" t="s">
        <v>49</v>
      </c>
      <c r="G599">
        <v>-26</v>
      </c>
      <c r="H599">
        <v>2201.9699999999998</v>
      </c>
      <c r="I599">
        <v>57251.219999999994</v>
      </c>
      <c r="K599">
        <v>2201.9699999999998</v>
      </c>
      <c r="L599">
        <v>57251.219999999994</v>
      </c>
      <c r="M599" t="s">
        <v>66</v>
      </c>
      <c r="N599" t="s">
        <v>489</v>
      </c>
    </row>
    <row r="600" spans="1:14" x14ac:dyDescent="0.25">
      <c r="A600" s="18">
        <v>45943</v>
      </c>
      <c r="B600" t="s">
        <v>289</v>
      </c>
      <c r="C600" t="s">
        <v>450</v>
      </c>
      <c r="D600" t="s">
        <v>116</v>
      </c>
      <c r="E600" t="s">
        <v>451</v>
      </c>
      <c r="F600" t="s">
        <v>21</v>
      </c>
      <c r="G600">
        <v>13445</v>
      </c>
      <c r="H600">
        <v>7.4459999999999997</v>
      </c>
      <c r="I600">
        <v>-100111.47</v>
      </c>
      <c r="K600">
        <v>7.4459999999999997</v>
      </c>
      <c r="L600">
        <v>-100111.47</v>
      </c>
      <c r="M600" t="s">
        <v>116</v>
      </c>
      <c r="N600" t="s">
        <v>450</v>
      </c>
    </row>
    <row r="601" spans="1:14" x14ac:dyDescent="0.25">
      <c r="A601" s="18">
        <v>45943</v>
      </c>
      <c r="B601" t="s">
        <v>289</v>
      </c>
      <c r="C601" t="s">
        <v>593</v>
      </c>
      <c r="D601" t="s">
        <v>594</v>
      </c>
      <c r="E601" t="s">
        <v>595</v>
      </c>
      <c r="F601" t="s">
        <v>21</v>
      </c>
      <c r="G601">
        <v>379</v>
      </c>
      <c r="H601">
        <v>264.89019999999999</v>
      </c>
      <c r="I601">
        <v>-100393.3858</v>
      </c>
      <c r="K601">
        <v>264.89019999999999</v>
      </c>
      <c r="L601">
        <v>-100393.3858</v>
      </c>
      <c r="M601" t="s">
        <v>594</v>
      </c>
      <c r="N601" t="s">
        <v>593</v>
      </c>
    </row>
    <row r="602" spans="1:14" x14ac:dyDescent="0.25">
      <c r="A602" s="18">
        <v>45944</v>
      </c>
      <c r="B602" t="s">
        <v>289</v>
      </c>
      <c r="C602" t="s">
        <v>320</v>
      </c>
      <c r="D602" t="s">
        <v>321</v>
      </c>
      <c r="E602" t="s">
        <v>322</v>
      </c>
      <c r="F602" t="s">
        <v>36</v>
      </c>
      <c r="G602">
        <v>6942</v>
      </c>
      <c r="H602">
        <v>12.4956</v>
      </c>
      <c r="I602">
        <v>-86744.455199999997</v>
      </c>
      <c r="K602">
        <v>12.4956</v>
      </c>
      <c r="L602">
        <v>-86744.455199999997</v>
      </c>
      <c r="M602" t="s">
        <v>321</v>
      </c>
      <c r="N602" t="s">
        <v>320</v>
      </c>
    </row>
    <row r="603" spans="1:14" x14ac:dyDescent="0.25">
      <c r="A603" s="18">
        <v>45944</v>
      </c>
      <c r="B603" t="s">
        <v>289</v>
      </c>
      <c r="C603" t="s">
        <v>596</v>
      </c>
      <c r="D603" t="s">
        <v>597</v>
      </c>
      <c r="E603" t="s">
        <v>598</v>
      </c>
      <c r="F603" t="s">
        <v>21</v>
      </c>
      <c r="G603">
        <v>1715</v>
      </c>
      <c r="H603">
        <v>87.355199999999996</v>
      </c>
      <c r="I603">
        <v>-149814.16800000001</v>
      </c>
      <c r="K603">
        <v>87.355199999999996</v>
      </c>
      <c r="L603">
        <v>-149814.16800000001</v>
      </c>
      <c r="M603" t="s">
        <v>597</v>
      </c>
      <c r="N603" t="s">
        <v>596</v>
      </c>
    </row>
    <row r="604" spans="1:14" x14ac:dyDescent="0.25">
      <c r="A604" s="18">
        <v>45944</v>
      </c>
      <c r="B604" t="s">
        <v>319</v>
      </c>
      <c r="C604" t="s">
        <v>587</v>
      </c>
      <c r="D604" t="s">
        <v>588</v>
      </c>
      <c r="E604" t="s">
        <v>589</v>
      </c>
      <c r="F604" t="s">
        <v>21</v>
      </c>
      <c r="G604">
        <v>-13078</v>
      </c>
      <c r="H604">
        <v>11.4772</v>
      </c>
      <c r="I604">
        <v>150098.8216</v>
      </c>
      <c r="K604">
        <v>11.4772</v>
      </c>
      <c r="L604">
        <v>150098.8216</v>
      </c>
      <c r="M604" t="s">
        <v>588</v>
      </c>
      <c r="N604" t="s">
        <v>587</v>
      </c>
    </row>
    <row r="605" spans="1:14" x14ac:dyDescent="0.25">
      <c r="A605" s="18">
        <v>45944</v>
      </c>
      <c r="B605" t="s">
        <v>319</v>
      </c>
      <c r="C605" t="s">
        <v>489</v>
      </c>
      <c r="D605" t="s">
        <v>66</v>
      </c>
      <c r="E605" t="s">
        <v>67</v>
      </c>
      <c r="F605" t="s">
        <v>49</v>
      </c>
      <c r="G605">
        <v>-27</v>
      </c>
      <c r="H605">
        <v>2129</v>
      </c>
      <c r="I605">
        <v>57483</v>
      </c>
      <c r="K605">
        <v>2129</v>
      </c>
      <c r="L605">
        <v>57483</v>
      </c>
      <c r="M605" t="s">
        <v>66</v>
      </c>
      <c r="N605" t="s">
        <v>489</v>
      </c>
    </row>
    <row r="606" spans="1:14" x14ac:dyDescent="0.25">
      <c r="A606" s="18">
        <v>45944</v>
      </c>
      <c r="B606" t="s">
        <v>289</v>
      </c>
      <c r="C606" t="s">
        <v>471</v>
      </c>
      <c r="D606" t="s">
        <v>472</v>
      </c>
      <c r="E606" t="s">
        <v>473</v>
      </c>
      <c r="F606" t="s">
        <v>49</v>
      </c>
      <c r="G606">
        <v>2980</v>
      </c>
      <c r="H606">
        <v>19.866299999999999</v>
      </c>
      <c r="I606">
        <v>-59201.574000000001</v>
      </c>
      <c r="K606">
        <v>19.866299999999999</v>
      </c>
      <c r="L606">
        <v>-59201.574000000001</v>
      </c>
      <c r="M606" t="s">
        <v>472</v>
      </c>
      <c r="N606" t="s">
        <v>471</v>
      </c>
    </row>
    <row r="607" spans="1:14" x14ac:dyDescent="0.25">
      <c r="A607" s="18">
        <v>45944</v>
      </c>
      <c r="B607" t="s">
        <v>289</v>
      </c>
      <c r="C607" t="s">
        <v>450</v>
      </c>
      <c r="D607" t="s">
        <v>116</v>
      </c>
      <c r="E607" t="s">
        <v>451</v>
      </c>
      <c r="F607" t="s">
        <v>21</v>
      </c>
      <c r="G607">
        <v>6965</v>
      </c>
      <c r="H607">
        <v>7.18</v>
      </c>
      <c r="I607">
        <v>-50008.7</v>
      </c>
      <c r="K607">
        <v>7.18</v>
      </c>
      <c r="L607">
        <v>-50008.7</v>
      </c>
      <c r="M607" t="s">
        <v>116</v>
      </c>
      <c r="N607" t="s">
        <v>450</v>
      </c>
    </row>
    <row r="608" spans="1:14" x14ac:dyDescent="0.25">
      <c r="A608" s="18">
        <v>45944</v>
      </c>
      <c r="B608" t="s">
        <v>289</v>
      </c>
      <c r="C608" t="s">
        <v>593</v>
      </c>
      <c r="D608" t="s">
        <v>594</v>
      </c>
      <c r="E608" t="s">
        <v>595</v>
      </c>
      <c r="F608" t="s">
        <v>21</v>
      </c>
      <c r="G608">
        <v>384</v>
      </c>
      <c r="H608">
        <v>260.98590000000002</v>
      </c>
      <c r="I608">
        <v>-100218.58560000001</v>
      </c>
      <c r="K608">
        <v>260.98590000000002</v>
      </c>
      <c r="L608">
        <v>-100218.58560000001</v>
      </c>
      <c r="M608" t="s">
        <v>594</v>
      </c>
      <c r="N608" t="s">
        <v>593</v>
      </c>
    </row>
    <row r="609" spans="1:14" x14ac:dyDescent="0.25">
      <c r="A609" s="18">
        <v>45944</v>
      </c>
      <c r="B609" t="s">
        <v>289</v>
      </c>
      <c r="C609" t="s">
        <v>548</v>
      </c>
      <c r="D609" t="s">
        <v>549</v>
      </c>
      <c r="E609" t="s">
        <v>550</v>
      </c>
      <c r="F609" t="s">
        <v>21</v>
      </c>
      <c r="G609">
        <v>21655</v>
      </c>
      <c r="H609">
        <v>4.6258999999999997</v>
      </c>
      <c r="I609">
        <v>-100173.8645</v>
      </c>
      <c r="K609">
        <v>4.6258999999999997</v>
      </c>
      <c r="L609">
        <v>-100173.8645</v>
      </c>
      <c r="M609" t="s">
        <v>549</v>
      </c>
      <c r="N609" t="s">
        <v>548</v>
      </c>
    </row>
    <row r="610" spans="1:14" x14ac:dyDescent="0.25">
      <c r="A610" s="18">
        <v>45944</v>
      </c>
      <c r="B610" t="s">
        <v>319</v>
      </c>
      <c r="C610" t="s">
        <v>582</v>
      </c>
      <c r="D610" t="s">
        <v>83</v>
      </c>
      <c r="E610" t="s">
        <v>583</v>
      </c>
      <c r="F610" t="s">
        <v>82</v>
      </c>
      <c r="G610">
        <v>-1237</v>
      </c>
      <c r="H610">
        <v>150.0634</v>
      </c>
      <c r="I610">
        <v>185628.4258</v>
      </c>
      <c r="K610">
        <v>150.0634</v>
      </c>
      <c r="L610">
        <v>185628.4258</v>
      </c>
      <c r="M610" t="s">
        <v>83</v>
      </c>
      <c r="N610" t="s">
        <v>582</v>
      </c>
    </row>
    <row r="611" spans="1:14" x14ac:dyDescent="0.25">
      <c r="A611" s="18">
        <v>45944</v>
      </c>
      <c r="B611" t="s">
        <v>319</v>
      </c>
      <c r="C611" t="s">
        <v>566</v>
      </c>
      <c r="D611" t="s">
        <v>567</v>
      </c>
      <c r="E611" t="s">
        <v>568</v>
      </c>
      <c r="F611" t="s">
        <v>21</v>
      </c>
      <c r="G611">
        <v>-2</v>
      </c>
      <c r="H611">
        <v>7876</v>
      </c>
      <c r="I611">
        <v>157520</v>
      </c>
      <c r="K611">
        <v>7876</v>
      </c>
      <c r="L611">
        <v>157520</v>
      </c>
      <c r="M611" t="s">
        <v>567</v>
      </c>
      <c r="N611" t="s">
        <v>566</v>
      </c>
    </row>
    <row r="612" spans="1:14" x14ac:dyDescent="0.25">
      <c r="A612" s="18">
        <v>45944</v>
      </c>
      <c r="B612" t="s">
        <v>319</v>
      </c>
      <c r="C612" t="s">
        <v>566</v>
      </c>
      <c r="D612" t="s">
        <v>567</v>
      </c>
      <c r="E612" t="s">
        <v>568</v>
      </c>
      <c r="F612" t="s">
        <v>21</v>
      </c>
      <c r="G612">
        <v>-1</v>
      </c>
      <c r="H612">
        <v>7904</v>
      </c>
      <c r="I612">
        <v>79040</v>
      </c>
      <c r="K612">
        <v>7904</v>
      </c>
      <c r="L612">
        <v>79040</v>
      </c>
      <c r="M612" t="s">
        <v>567</v>
      </c>
      <c r="N612" t="s">
        <v>566</v>
      </c>
    </row>
    <row r="613" spans="1:14" x14ac:dyDescent="0.25">
      <c r="A613" s="18">
        <v>45944</v>
      </c>
      <c r="B613" t="s">
        <v>289</v>
      </c>
      <c r="C613" t="s">
        <v>435</v>
      </c>
      <c r="D613" t="s">
        <v>99</v>
      </c>
      <c r="E613" t="s">
        <v>100</v>
      </c>
      <c r="F613" t="s">
        <v>21</v>
      </c>
      <c r="G613">
        <v>11740</v>
      </c>
      <c r="H613">
        <v>8.5114000000000001</v>
      </c>
      <c r="I613">
        <v>-99923.835999999996</v>
      </c>
      <c r="K613">
        <v>8.5114000000000001</v>
      </c>
      <c r="L613">
        <v>-99923.835999999996</v>
      </c>
      <c r="M613" t="s">
        <v>99</v>
      </c>
      <c r="N613" t="s">
        <v>435</v>
      </c>
    </row>
    <row r="614" spans="1:14" x14ac:dyDescent="0.25">
      <c r="A614" s="18">
        <v>45944</v>
      </c>
      <c r="B614" t="s">
        <v>289</v>
      </c>
      <c r="C614" t="s">
        <v>392</v>
      </c>
      <c r="D614" t="s">
        <v>393</v>
      </c>
      <c r="E614" t="s">
        <v>494</v>
      </c>
      <c r="F614" t="s">
        <v>157</v>
      </c>
      <c r="G614">
        <v>3740</v>
      </c>
      <c r="H614">
        <v>100.15049999999999</v>
      </c>
      <c r="I614">
        <v>-374562.87</v>
      </c>
      <c r="K614">
        <v>100.15049999999999</v>
      </c>
      <c r="L614">
        <v>-374562.87</v>
      </c>
      <c r="M614" t="s">
        <v>393</v>
      </c>
      <c r="N614" t="s">
        <v>392</v>
      </c>
    </row>
    <row r="615" spans="1:14" x14ac:dyDescent="0.25">
      <c r="A615" s="18">
        <v>45944</v>
      </c>
      <c r="B615" t="s">
        <v>289</v>
      </c>
      <c r="C615" t="s">
        <v>331</v>
      </c>
      <c r="D615" t="s">
        <v>332</v>
      </c>
      <c r="E615" t="s">
        <v>333</v>
      </c>
      <c r="F615" t="s">
        <v>21</v>
      </c>
      <c r="G615">
        <v>34</v>
      </c>
      <c r="H615">
        <v>1455.9294</v>
      </c>
      <c r="I615">
        <v>-49501.599600000001</v>
      </c>
      <c r="K615">
        <v>1455.9294</v>
      </c>
      <c r="L615">
        <v>-49501.599600000001</v>
      </c>
      <c r="M615" t="s">
        <v>332</v>
      </c>
      <c r="N615" t="s">
        <v>331</v>
      </c>
    </row>
    <row r="616" spans="1:14" x14ac:dyDescent="0.25">
      <c r="A616" s="18">
        <v>45945</v>
      </c>
      <c r="B616" t="s">
        <v>289</v>
      </c>
      <c r="C616" t="s">
        <v>314</v>
      </c>
      <c r="D616" t="s">
        <v>315</v>
      </c>
      <c r="E616" t="s">
        <v>362</v>
      </c>
      <c r="F616" t="s">
        <v>21</v>
      </c>
      <c r="G616">
        <v>1988</v>
      </c>
      <c r="H616">
        <v>25.19</v>
      </c>
      <c r="I616">
        <v>-50077.72</v>
      </c>
      <c r="K616">
        <v>25.19</v>
      </c>
      <c r="L616">
        <v>-50077.72</v>
      </c>
      <c r="M616" t="s">
        <v>315</v>
      </c>
      <c r="N616" t="s">
        <v>314</v>
      </c>
    </row>
    <row r="617" spans="1:14" x14ac:dyDescent="0.25">
      <c r="A617" s="18">
        <v>45945</v>
      </c>
      <c r="B617" t="s">
        <v>289</v>
      </c>
      <c r="C617" t="s">
        <v>599</v>
      </c>
      <c r="D617" t="s">
        <v>600</v>
      </c>
      <c r="E617" t="s">
        <v>601</v>
      </c>
      <c r="F617" t="s">
        <v>21</v>
      </c>
      <c r="G617">
        <v>265</v>
      </c>
      <c r="H617">
        <v>377.9</v>
      </c>
      <c r="I617">
        <v>-100143.5</v>
      </c>
      <c r="K617">
        <v>377.9</v>
      </c>
      <c r="L617">
        <v>-100143.5</v>
      </c>
      <c r="M617" t="s">
        <v>600</v>
      </c>
      <c r="N617" t="s">
        <v>599</v>
      </c>
    </row>
    <row r="618" spans="1:14" x14ac:dyDescent="0.25">
      <c r="A618" s="18">
        <v>45945</v>
      </c>
      <c r="B618" t="s">
        <v>289</v>
      </c>
      <c r="C618" t="s">
        <v>590</v>
      </c>
      <c r="D618" t="s">
        <v>591</v>
      </c>
      <c r="E618" t="s">
        <v>592</v>
      </c>
      <c r="F618" t="s">
        <v>21</v>
      </c>
      <c r="G618">
        <v>3</v>
      </c>
      <c r="H618">
        <v>15700</v>
      </c>
      <c r="I618">
        <v>-471000</v>
      </c>
      <c r="K618">
        <v>15700</v>
      </c>
      <c r="L618">
        <v>-471000</v>
      </c>
      <c r="M618" t="s">
        <v>591</v>
      </c>
      <c r="N618" t="s">
        <v>590</v>
      </c>
    </row>
    <row r="619" spans="1:14" x14ac:dyDescent="0.25">
      <c r="A619" s="18">
        <v>45945</v>
      </c>
      <c r="B619" t="s">
        <v>319</v>
      </c>
      <c r="C619" t="s">
        <v>602</v>
      </c>
      <c r="D619" t="s">
        <v>603</v>
      </c>
      <c r="E619" t="s">
        <v>604</v>
      </c>
      <c r="F619" t="s">
        <v>21</v>
      </c>
      <c r="G619">
        <v>-3</v>
      </c>
      <c r="H619">
        <v>15644.5</v>
      </c>
      <c r="I619">
        <v>469335</v>
      </c>
      <c r="K619">
        <v>15644.5</v>
      </c>
      <c r="L619">
        <v>469335</v>
      </c>
      <c r="M619" t="s">
        <v>603</v>
      </c>
      <c r="N619" t="s">
        <v>602</v>
      </c>
    </row>
    <row r="620" spans="1:14" x14ac:dyDescent="0.25">
      <c r="A620" s="18">
        <v>45945</v>
      </c>
      <c r="B620" t="s">
        <v>289</v>
      </c>
      <c r="C620" t="s">
        <v>548</v>
      </c>
      <c r="D620" t="s">
        <v>549</v>
      </c>
      <c r="E620" t="s">
        <v>550</v>
      </c>
      <c r="F620" t="s">
        <v>21</v>
      </c>
      <c r="G620">
        <v>10430</v>
      </c>
      <c r="H620">
        <v>4.7949999999999999</v>
      </c>
      <c r="I620">
        <v>-50011.85</v>
      </c>
      <c r="K620">
        <v>4.7949999999999999</v>
      </c>
      <c r="L620">
        <v>-50011.85</v>
      </c>
      <c r="M620" t="s">
        <v>549</v>
      </c>
      <c r="N620" t="s">
        <v>548</v>
      </c>
    </row>
    <row r="621" spans="1:14" x14ac:dyDescent="0.25">
      <c r="A621" s="18">
        <v>45945</v>
      </c>
      <c r="B621" t="s">
        <v>289</v>
      </c>
      <c r="C621" t="s">
        <v>566</v>
      </c>
      <c r="D621" t="s">
        <v>567</v>
      </c>
      <c r="E621" t="s">
        <v>568</v>
      </c>
      <c r="F621" t="s">
        <v>21</v>
      </c>
      <c r="G621">
        <v>20</v>
      </c>
      <c r="H621">
        <v>8121.5</v>
      </c>
      <c r="I621">
        <v>-1624300</v>
      </c>
      <c r="K621">
        <v>8121.5</v>
      </c>
      <c r="L621">
        <v>-1624300</v>
      </c>
      <c r="M621" t="s">
        <v>567</v>
      </c>
      <c r="N621" t="s">
        <v>566</v>
      </c>
    </row>
    <row r="622" spans="1:14" x14ac:dyDescent="0.25">
      <c r="A622" s="18">
        <v>45945</v>
      </c>
      <c r="B622" t="s">
        <v>319</v>
      </c>
      <c r="C622" t="s">
        <v>605</v>
      </c>
      <c r="D622" t="s">
        <v>606</v>
      </c>
      <c r="E622" t="s">
        <v>607</v>
      </c>
      <c r="F622" t="s">
        <v>21</v>
      </c>
      <c r="G622">
        <v>-20</v>
      </c>
      <c r="H622">
        <v>8138.5</v>
      </c>
      <c r="I622">
        <v>1627700</v>
      </c>
      <c r="K622">
        <v>8138.5</v>
      </c>
      <c r="L622">
        <v>1627700</v>
      </c>
      <c r="M622" t="s">
        <v>606</v>
      </c>
      <c r="N622" t="s">
        <v>605</v>
      </c>
    </row>
    <row r="623" spans="1:14" x14ac:dyDescent="0.25">
      <c r="A623" s="18">
        <v>45946</v>
      </c>
      <c r="B623" t="s">
        <v>289</v>
      </c>
      <c r="C623" t="s">
        <v>320</v>
      </c>
      <c r="D623" t="s">
        <v>321</v>
      </c>
      <c r="E623" t="s">
        <v>322</v>
      </c>
      <c r="F623" t="s">
        <v>36</v>
      </c>
      <c r="G623">
        <v>6897</v>
      </c>
      <c r="H623">
        <v>12.6</v>
      </c>
      <c r="I623">
        <v>-86902.2</v>
      </c>
      <c r="K623">
        <v>12.6</v>
      </c>
      <c r="L623">
        <v>-86902.2</v>
      </c>
      <c r="M623" t="s">
        <v>321</v>
      </c>
      <c r="N623" t="s">
        <v>320</v>
      </c>
    </row>
    <row r="624" spans="1:14" x14ac:dyDescent="0.25">
      <c r="A624" s="18">
        <v>45946</v>
      </c>
      <c r="B624" t="s">
        <v>319</v>
      </c>
      <c r="C624" t="s">
        <v>569</v>
      </c>
      <c r="D624" t="s">
        <v>570</v>
      </c>
      <c r="E624" t="s">
        <v>571</v>
      </c>
      <c r="F624" t="s">
        <v>49</v>
      </c>
      <c r="G624">
        <v>-2057</v>
      </c>
      <c r="H624">
        <v>28.320599999999999</v>
      </c>
      <c r="I624">
        <v>58255.474199999997</v>
      </c>
      <c r="K624">
        <v>28.320599999999999</v>
      </c>
      <c r="L624">
        <v>58255.474199999997</v>
      </c>
      <c r="M624" t="s">
        <v>570</v>
      </c>
      <c r="N624" t="s">
        <v>569</v>
      </c>
    </row>
    <row r="625" spans="1:14" x14ac:dyDescent="0.25">
      <c r="A625" s="18">
        <v>45946</v>
      </c>
      <c r="B625" t="s">
        <v>319</v>
      </c>
      <c r="C625" t="s">
        <v>482</v>
      </c>
      <c r="D625" t="s">
        <v>483</v>
      </c>
      <c r="E625" t="s">
        <v>269</v>
      </c>
      <c r="F625" t="s">
        <v>49</v>
      </c>
      <c r="G625">
        <v>-792</v>
      </c>
      <c r="H625">
        <v>110.0337</v>
      </c>
      <c r="I625">
        <v>87146.690399999992</v>
      </c>
      <c r="K625">
        <v>110.0337</v>
      </c>
      <c r="L625">
        <v>87146.690399999992</v>
      </c>
      <c r="M625" t="s">
        <v>483</v>
      </c>
      <c r="N625" t="s">
        <v>482</v>
      </c>
    </row>
    <row r="626" spans="1:14" x14ac:dyDescent="0.25">
      <c r="A626" s="18">
        <v>45946</v>
      </c>
      <c r="B626" t="s">
        <v>319</v>
      </c>
      <c r="C626" t="s">
        <v>579</v>
      </c>
      <c r="D626" t="s">
        <v>580</v>
      </c>
      <c r="E626" t="s">
        <v>581</v>
      </c>
      <c r="F626" t="s">
        <v>49</v>
      </c>
      <c r="G626">
        <v>-481</v>
      </c>
      <c r="H626">
        <v>181.69909999999999</v>
      </c>
      <c r="I626">
        <v>87397.267099999997</v>
      </c>
      <c r="K626">
        <v>181.69909999999999</v>
      </c>
      <c r="L626">
        <v>87397.267099999997</v>
      </c>
      <c r="M626" t="s">
        <v>580</v>
      </c>
      <c r="N626" t="s">
        <v>579</v>
      </c>
    </row>
    <row r="627" spans="1:14" x14ac:dyDescent="0.25">
      <c r="A627" s="18">
        <v>45946</v>
      </c>
      <c r="B627" t="s">
        <v>319</v>
      </c>
      <c r="C627" t="s">
        <v>489</v>
      </c>
      <c r="D627" t="s">
        <v>66</v>
      </c>
      <c r="E627" t="s">
        <v>67</v>
      </c>
      <c r="F627" t="s">
        <v>49</v>
      </c>
      <c r="G627">
        <v>-28</v>
      </c>
      <c r="H627">
        <v>2054.9829</v>
      </c>
      <c r="I627">
        <v>57539.521200000003</v>
      </c>
      <c r="K627">
        <v>2054.9829</v>
      </c>
      <c r="L627">
        <v>57539.521200000003</v>
      </c>
      <c r="M627" t="s">
        <v>66</v>
      </c>
      <c r="N627" t="s">
        <v>489</v>
      </c>
    </row>
    <row r="628" spans="1:14" x14ac:dyDescent="0.25">
      <c r="A628" s="18">
        <v>45946</v>
      </c>
      <c r="B628" t="s">
        <v>319</v>
      </c>
      <c r="C628" t="s">
        <v>471</v>
      </c>
      <c r="D628" t="s">
        <v>472</v>
      </c>
      <c r="E628" t="s">
        <v>473</v>
      </c>
      <c r="F628" t="s">
        <v>49</v>
      </c>
      <c r="G628">
        <v>-2616</v>
      </c>
      <c r="H628">
        <v>21.844999999999999</v>
      </c>
      <c r="I628">
        <v>57146.52</v>
      </c>
      <c r="K628">
        <v>21.844999999999999</v>
      </c>
      <c r="L628">
        <v>57146.52</v>
      </c>
      <c r="M628" t="s">
        <v>472</v>
      </c>
      <c r="N628" t="s">
        <v>471</v>
      </c>
    </row>
    <row r="629" spans="1:14" x14ac:dyDescent="0.25">
      <c r="A629" s="18">
        <v>45946</v>
      </c>
      <c r="B629" t="s">
        <v>319</v>
      </c>
      <c r="C629" t="s">
        <v>294</v>
      </c>
      <c r="D629" t="s">
        <v>80</v>
      </c>
      <c r="E629" t="s">
        <v>505</v>
      </c>
      <c r="F629" t="s">
        <v>82</v>
      </c>
      <c r="G629">
        <v>-1390</v>
      </c>
      <c r="H629">
        <v>66.52</v>
      </c>
      <c r="I629">
        <v>92462.799999999988</v>
      </c>
      <c r="K629">
        <v>66.52</v>
      </c>
      <c r="L629">
        <v>92462.799999999988</v>
      </c>
      <c r="M629" t="s">
        <v>80</v>
      </c>
      <c r="N629" t="s">
        <v>294</v>
      </c>
    </row>
    <row r="630" spans="1:14" x14ac:dyDescent="0.25">
      <c r="A630" s="18">
        <v>45946</v>
      </c>
      <c r="B630" t="s">
        <v>289</v>
      </c>
      <c r="C630" t="s">
        <v>608</v>
      </c>
      <c r="D630" t="s">
        <v>26</v>
      </c>
      <c r="E630" t="s">
        <v>27</v>
      </c>
      <c r="F630" t="s">
        <v>21</v>
      </c>
      <c r="G630">
        <v>488</v>
      </c>
      <c r="H630">
        <v>307.75470000000001</v>
      </c>
      <c r="I630">
        <v>-150184.2936</v>
      </c>
      <c r="K630">
        <v>307.75470000000001</v>
      </c>
      <c r="L630">
        <v>-150184.2936</v>
      </c>
      <c r="M630" t="s">
        <v>26</v>
      </c>
      <c r="N630" t="s">
        <v>608</v>
      </c>
    </row>
    <row r="631" spans="1:14" x14ac:dyDescent="0.25">
      <c r="A631" s="18">
        <v>45946</v>
      </c>
      <c r="B631" t="s">
        <v>319</v>
      </c>
      <c r="C631" t="s">
        <v>563</v>
      </c>
      <c r="D631" t="s">
        <v>564</v>
      </c>
      <c r="E631" t="s">
        <v>565</v>
      </c>
      <c r="F631" t="s">
        <v>21</v>
      </c>
      <c r="G631">
        <v>-2</v>
      </c>
      <c r="H631">
        <v>24245</v>
      </c>
      <c r="I631">
        <v>242450</v>
      </c>
      <c r="K631">
        <v>24245</v>
      </c>
      <c r="L631">
        <v>242450</v>
      </c>
      <c r="M631" t="s">
        <v>564</v>
      </c>
      <c r="N631" t="s">
        <v>563</v>
      </c>
    </row>
    <row r="632" spans="1:14" x14ac:dyDescent="0.25">
      <c r="A632" s="18">
        <v>45946</v>
      </c>
      <c r="B632" t="s">
        <v>289</v>
      </c>
      <c r="C632" t="s">
        <v>325</v>
      </c>
      <c r="D632" t="s">
        <v>47</v>
      </c>
      <c r="E632" t="s">
        <v>48</v>
      </c>
      <c r="F632" t="s">
        <v>36</v>
      </c>
      <c r="G632">
        <v>991</v>
      </c>
      <c r="H632">
        <v>87.605599999999995</v>
      </c>
      <c r="I632">
        <v>-86817.14959999999</v>
      </c>
      <c r="K632">
        <v>87.605599999999995</v>
      </c>
      <c r="L632">
        <v>-86817.14959999999</v>
      </c>
      <c r="M632" t="s">
        <v>47</v>
      </c>
      <c r="N632" t="s">
        <v>325</v>
      </c>
    </row>
    <row r="633" spans="1:14" x14ac:dyDescent="0.25">
      <c r="A633" s="18">
        <v>45946</v>
      </c>
      <c r="B633" t="s">
        <v>289</v>
      </c>
      <c r="C633" t="s">
        <v>582</v>
      </c>
      <c r="D633" t="s">
        <v>83</v>
      </c>
      <c r="E633" t="s">
        <v>583</v>
      </c>
      <c r="F633" t="s">
        <v>82</v>
      </c>
      <c r="G633">
        <v>578</v>
      </c>
      <c r="H633">
        <v>160.89150000000001</v>
      </c>
      <c r="I633">
        <v>-92995.287000000011</v>
      </c>
      <c r="K633">
        <v>160.89150000000001</v>
      </c>
      <c r="L633">
        <v>-92995.287000000011</v>
      </c>
      <c r="M633" t="s">
        <v>83</v>
      </c>
      <c r="N633" t="s">
        <v>582</v>
      </c>
    </row>
    <row r="634" spans="1:14" x14ac:dyDescent="0.25">
      <c r="A634" s="18">
        <v>45946</v>
      </c>
      <c r="B634" t="s">
        <v>289</v>
      </c>
      <c r="C634" t="s">
        <v>605</v>
      </c>
      <c r="D634" t="s">
        <v>606</v>
      </c>
      <c r="E634" t="s">
        <v>607</v>
      </c>
      <c r="F634" t="s">
        <v>21</v>
      </c>
      <c r="G634">
        <v>3</v>
      </c>
      <c r="H634">
        <v>8165</v>
      </c>
      <c r="I634">
        <v>-244950</v>
      </c>
      <c r="K634">
        <v>8165</v>
      </c>
      <c r="L634">
        <v>-244950</v>
      </c>
      <c r="M634" t="s">
        <v>606</v>
      </c>
      <c r="N634" t="s">
        <v>605</v>
      </c>
    </row>
    <row r="635" spans="1:14" x14ac:dyDescent="0.25">
      <c r="A635" s="18">
        <v>45946</v>
      </c>
      <c r="B635" t="s">
        <v>319</v>
      </c>
      <c r="C635" t="s">
        <v>464</v>
      </c>
      <c r="D635" t="s">
        <v>465</v>
      </c>
      <c r="E635" t="s">
        <v>265</v>
      </c>
      <c r="F635" t="s">
        <v>49</v>
      </c>
      <c r="G635">
        <v>-3267</v>
      </c>
      <c r="H635">
        <v>35.68</v>
      </c>
      <c r="I635">
        <v>116566.56</v>
      </c>
      <c r="K635">
        <v>35.68</v>
      </c>
      <c r="L635">
        <v>116566.56</v>
      </c>
      <c r="M635" t="s">
        <v>465</v>
      </c>
      <c r="N635" t="s">
        <v>464</v>
      </c>
    </row>
    <row r="636" spans="1:14" x14ac:dyDescent="0.25">
      <c r="A636" s="18">
        <v>45947</v>
      </c>
      <c r="B636" t="s">
        <v>289</v>
      </c>
      <c r="C636" t="s">
        <v>320</v>
      </c>
      <c r="D636" t="s">
        <v>321</v>
      </c>
      <c r="E636" t="s">
        <v>322</v>
      </c>
      <c r="F636" t="s">
        <v>36</v>
      </c>
      <c r="G636">
        <v>3400</v>
      </c>
      <c r="H636">
        <v>12.8</v>
      </c>
      <c r="I636">
        <v>-43520</v>
      </c>
      <c r="K636">
        <v>12.8</v>
      </c>
      <c r="L636">
        <v>-43520</v>
      </c>
      <c r="M636" t="s">
        <v>321</v>
      </c>
      <c r="N636" t="s">
        <v>320</v>
      </c>
    </row>
    <row r="637" spans="1:14" x14ac:dyDescent="0.25">
      <c r="A637" s="18">
        <v>45947</v>
      </c>
      <c r="B637" t="s">
        <v>289</v>
      </c>
      <c r="C637" t="s">
        <v>609</v>
      </c>
      <c r="D637" t="s">
        <v>610</v>
      </c>
      <c r="E637" t="s">
        <v>611</v>
      </c>
      <c r="F637" t="s">
        <v>21</v>
      </c>
      <c r="G637">
        <v>1851</v>
      </c>
      <c r="H637">
        <v>54.14</v>
      </c>
      <c r="I637">
        <v>-100213.14</v>
      </c>
      <c r="K637">
        <v>54.14</v>
      </c>
      <c r="L637">
        <v>-100213.14</v>
      </c>
      <c r="M637" t="s">
        <v>610</v>
      </c>
      <c r="N637" t="s">
        <v>609</v>
      </c>
    </row>
    <row r="638" spans="1:14" x14ac:dyDescent="0.25">
      <c r="A638" s="18">
        <v>45947</v>
      </c>
      <c r="B638" t="s">
        <v>319</v>
      </c>
      <c r="C638" t="s">
        <v>569</v>
      </c>
      <c r="D638" t="s">
        <v>570</v>
      </c>
      <c r="E638" t="s">
        <v>571</v>
      </c>
      <c r="F638" t="s">
        <v>49</v>
      </c>
      <c r="G638">
        <v>-2185</v>
      </c>
      <c r="H638">
        <v>26.600200000000001</v>
      </c>
      <c r="I638">
        <v>58121.437000000005</v>
      </c>
      <c r="K638">
        <v>26.600200000000001</v>
      </c>
      <c r="L638">
        <v>58121.437000000005</v>
      </c>
      <c r="M638" t="s">
        <v>570</v>
      </c>
      <c r="N638" t="s">
        <v>569</v>
      </c>
    </row>
    <row r="639" spans="1:14" x14ac:dyDescent="0.25">
      <c r="A639" s="18">
        <v>45947</v>
      </c>
      <c r="B639" t="s">
        <v>289</v>
      </c>
      <c r="C639" t="s">
        <v>328</v>
      </c>
      <c r="D639" t="s">
        <v>329</v>
      </c>
      <c r="E639" t="s">
        <v>330</v>
      </c>
      <c r="F639" t="s">
        <v>21</v>
      </c>
      <c r="G639">
        <v>30</v>
      </c>
      <c r="H639">
        <v>1657.5</v>
      </c>
      <c r="I639">
        <v>-49725</v>
      </c>
      <c r="K639">
        <v>1657.5</v>
      </c>
      <c r="L639">
        <v>-49725</v>
      </c>
      <c r="M639" t="s">
        <v>329</v>
      </c>
      <c r="N639" t="s">
        <v>328</v>
      </c>
    </row>
    <row r="640" spans="1:14" x14ac:dyDescent="0.25">
      <c r="A640" s="18">
        <v>45947</v>
      </c>
      <c r="B640" t="s">
        <v>289</v>
      </c>
      <c r="C640" t="s">
        <v>596</v>
      </c>
      <c r="D640" t="s">
        <v>597</v>
      </c>
      <c r="E640" t="s">
        <v>598</v>
      </c>
      <c r="F640" t="s">
        <v>21</v>
      </c>
      <c r="G640">
        <v>798</v>
      </c>
      <c r="H640">
        <v>87.813500000000005</v>
      </c>
      <c r="I640">
        <v>-70075.17300000001</v>
      </c>
      <c r="K640">
        <v>87.813500000000019</v>
      </c>
      <c r="L640">
        <v>-70075.17300000001</v>
      </c>
      <c r="M640" t="s">
        <v>597</v>
      </c>
      <c r="N640" t="s">
        <v>596</v>
      </c>
    </row>
    <row r="641" spans="1:14" x14ac:dyDescent="0.25">
      <c r="A641" s="18">
        <v>45947</v>
      </c>
      <c r="B641" t="s">
        <v>319</v>
      </c>
      <c r="C641" t="s">
        <v>579</v>
      </c>
      <c r="D641" t="s">
        <v>580</v>
      </c>
      <c r="E641" t="s">
        <v>581</v>
      </c>
      <c r="F641" t="s">
        <v>49</v>
      </c>
      <c r="G641">
        <v>-1111</v>
      </c>
      <c r="H641">
        <v>181.1277</v>
      </c>
      <c r="I641">
        <v>201232.87470000001</v>
      </c>
      <c r="K641">
        <v>181.1277</v>
      </c>
      <c r="L641">
        <v>201232.87470000001</v>
      </c>
      <c r="M641" t="s">
        <v>580</v>
      </c>
      <c r="N641" t="s">
        <v>579</v>
      </c>
    </row>
    <row r="642" spans="1:14" x14ac:dyDescent="0.25">
      <c r="A642" s="18">
        <v>45947</v>
      </c>
      <c r="B642" t="s">
        <v>319</v>
      </c>
      <c r="C642" t="s">
        <v>587</v>
      </c>
      <c r="D642" t="s">
        <v>588</v>
      </c>
      <c r="E642" t="s">
        <v>589</v>
      </c>
      <c r="F642" t="s">
        <v>21</v>
      </c>
      <c r="G642">
        <v>-10475</v>
      </c>
      <c r="H642">
        <v>11.65</v>
      </c>
      <c r="I642">
        <v>122033.75</v>
      </c>
      <c r="K642">
        <v>11.65</v>
      </c>
      <c r="L642">
        <v>122033.75</v>
      </c>
      <c r="M642" t="s">
        <v>588</v>
      </c>
      <c r="N642" t="s">
        <v>587</v>
      </c>
    </row>
    <row r="643" spans="1:14" x14ac:dyDescent="0.25">
      <c r="A643" s="18">
        <v>45947</v>
      </c>
      <c r="B643" t="s">
        <v>289</v>
      </c>
      <c r="C643" t="s">
        <v>471</v>
      </c>
      <c r="D643" t="s">
        <v>472</v>
      </c>
      <c r="E643" t="s">
        <v>473</v>
      </c>
      <c r="F643" t="s">
        <v>49</v>
      </c>
      <c r="G643">
        <v>3006</v>
      </c>
      <c r="H643">
        <v>19.532</v>
      </c>
      <c r="I643">
        <v>-58713.192000000003</v>
      </c>
      <c r="K643">
        <v>19.532</v>
      </c>
      <c r="L643">
        <v>-58713.192000000003</v>
      </c>
      <c r="M643" t="s">
        <v>472</v>
      </c>
      <c r="N643" t="s">
        <v>471</v>
      </c>
    </row>
    <row r="644" spans="1:14" x14ac:dyDescent="0.25">
      <c r="A644" s="18">
        <v>45947</v>
      </c>
      <c r="B644" t="s">
        <v>289</v>
      </c>
      <c r="C644" t="s">
        <v>425</v>
      </c>
      <c r="D644" t="s">
        <v>426</v>
      </c>
      <c r="E644" t="s">
        <v>427</v>
      </c>
      <c r="F644" t="s">
        <v>49</v>
      </c>
      <c r="G644">
        <v>2379</v>
      </c>
      <c r="H644">
        <v>24.000699999999998</v>
      </c>
      <c r="I644">
        <v>-57097.665299999993</v>
      </c>
      <c r="K644">
        <v>24.000699999999998</v>
      </c>
      <c r="L644">
        <v>-57097.665299999993</v>
      </c>
      <c r="M644" t="s">
        <v>426</v>
      </c>
      <c r="N644" t="s">
        <v>425</v>
      </c>
    </row>
    <row r="645" spans="1:14" x14ac:dyDescent="0.25">
      <c r="A645" s="18">
        <v>45947</v>
      </c>
      <c r="B645" t="s">
        <v>289</v>
      </c>
      <c r="C645" t="s">
        <v>450</v>
      </c>
      <c r="D645" t="s">
        <v>116</v>
      </c>
      <c r="E645" t="s">
        <v>451</v>
      </c>
      <c r="F645" t="s">
        <v>21</v>
      </c>
      <c r="G645">
        <v>6880</v>
      </c>
      <c r="H645">
        <v>6.8920000000000003</v>
      </c>
      <c r="I645">
        <v>-47416.959999999999</v>
      </c>
      <c r="K645">
        <v>6.8919999999999995</v>
      </c>
      <c r="L645">
        <v>-47416.959999999999</v>
      </c>
      <c r="M645" t="s">
        <v>116</v>
      </c>
      <c r="N645" t="s">
        <v>450</v>
      </c>
    </row>
    <row r="646" spans="1:14" x14ac:dyDescent="0.25">
      <c r="A646" s="18">
        <v>45947</v>
      </c>
      <c r="B646" t="s">
        <v>319</v>
      </c>
      <c r="C646" t="s">
        <v>593</v>
      </c>
      <c r="D646" t="s">
        <v>594</v>
      </c>
      <c r="E646" t="s">
        <v>595</v>
      </c>
      <c r="F646" t="s">
        <v>21</v>
      </c>
      <c r="G646">
        <v>-477</v>
      </c>
      <c r="H646">
        <v>251</v>
      </c>
      <c r="I646">
        <v>119727</v>
      </c>
      <c r="K646">
        <v>251</v>
      </c>
      <c r="L646">
        <v>119727</v>
      </c>
      <c r="M646" t="s">
        <v>594</v>
      </c>
      <c r="N646" t="s">
        <v>593</v>
      </c>
    </row>
    <row r="647" spans="1:14" x14ac:dyDescent="0.25">
      <c r="A647" s="18">
        <v>45947</v>
      </c>
      <c r="B647" t="s">
        <v>289</v>
      </c>
      <c r="C647" t="s">
        <v>612</v>
      </c>
      <c r="D647" t="s">
        <v>108</v>
      </c>
      <c r="E647" t="s">
        <v>613</v>
      </c>
      <c r="F647" t="s">
        <v>21</v>
      </c>
      <c r="G647">
        <v>352</v>
      </c>
      <c r="H647">
        <v>1420.8979999999999</v>
      </c>
      <c r="I647">
        <v>-500156.09599999996</v>
      </c>
      <c r="K647">
        <v>1420.8979999999999</v>
      </c>
      <c r="L647">
        <v>-500156.09599999996</v>
      </c>
      <c r="M647" t="s">
        <v>108</v>
      </c>
      <c r="N647" t="s">
        <v>612</v>
      </c>
    </row>
    <row r="648" spans="1:14" x14ac:dyDescent="0.25">
      <c r="A648" s="18">
        <v>45947</v>
      </c>
      <c r="B648" t="s">
        <v>289</v>
      </c>
      <c r="C648" t="s">
        <v>614</v>
      </c>
      <c r="D648" t="s">
        <v>102</v>
      </c>
      <c r="E648" t="s">
        <v>615</v>
      </c>
      <c r="F648" t="s">
        <v>21</v>
      </c>
      <c r="G648">
        <v>537</v>
      </c>
      <c r="H648">
        <v>1861.105</v>
      </c>
      <c r="I648">
        <v>-999413.38500000001</v>
      </c>
      <c r="K648">
        <v>1861.105</v>
      </c>
      <c r="L648">
        <v>-999413.38500000001</v>
      </c>
      <c r="M648" t="s">
        <v>102</v>
      </c>
      <c r="N648" t="s">
        <v>614</v>
      </c>
    </row>
    <row r="649" spans="1:14" x14ac:dyDescent="0.25">
      <c r="A649" s="18">
        <v>45947</v>
      </c>
      <c r="B649" t="s">
        <v>289</v>
      </c>
      <c r="C649" t="s">
        <v>563</v>
      </c>
      <c r="D649" t="s">
        <v>564</v>
      </c>
      <c r="E649" t="s">
        <v>565</v>
      </c>
      <c r="F649" t="s">
        <v>21</v>
      </c>
      <c r="G649">
        <v>1</v>
      </c>
      <c r="H649">
        <v>23942</v>
      </c>
      <c r="I649">
        <v>-119710</v>
      </c>
      <c r="K649">
        <v>23942</v>
      </c>
      <c r="L649">
        <v>-119710</v>
      </c>
      <c r="M649" t="s">
        <v>564</v>
      </c>
      <c r="N649" t="s">
        <v>563</v>
      </c>
    </row>
    <row r="650" spans="1:14" x14ac:dyDescent="0.25">
      <c r="A650" s="18">
        <v>45947</v>
      </c>
      <c r="B650" t="s">
        <v>289</v>
      </c>
      <c r="C650" t="s">
        <v>616</v>
      </c>
      <c r="D650" t="s">
        <v>617</v>
      </c>
      <c r="E650" t="s">
        <v>618</v>
      </c>
      <c r="F650" t="s">
        <v>21</v>
      </c>
      <c r="G650">
        <v>7550</v>
      </c>
      <c r="H650">
        <v>59.999600000000001</v>
      </c>
      <c r="I650">
        <v>-452996.98</v>
      </c>
      <c r="K650">
        <v>59.999600000000001</v>
      </c>
      <c r="L650">
        <v>-452996.98</v>
      </c>
      <c r="M650" t="s">
        <v>617</v>
      </c>
      <c r="N650" t="s">
        <v>616</v>
      </c>
    </row>
    <row r="651" spans="1:14" x14ac:dyDescent="0.25">
      <c r="A651" s="18">
        <v>45947</v>
      </c>
      <c r="B651" t="s">
        <v>289</v>
      </c>
      <c r="C651" t="s">
        <v>582</v>
      </c>
      <c r="D651" t="s">
        <v>83</v>
      </c>
      <c r="E651" t="s">
        <v>583</v>
      </c>
      <c r="F651" t="s">
        <v>82</v>
      </c>
      <c r="G651">
        <v>753</v>
      </c>
      <c r="H651">
        <v>159.94999999999999</v>
      </c>
      <c r="I651">
        <v>-120442.34999999999</v>
      </c>
      <c r="K651">
        <v>159.94999999999999</v>
      </c>
      <c r="L651">
        <v>-120442.34999999999</v>
      </c>
      <c r="M651" t="s">
        <v>83</v>
      </c>
      <c r="N651" t="s">
        <v>582</v>
      </c>
    </row>
    <row r="652" spans="1:14" x14ac:dyDescent="0.25">
      <c r="A652" s="18">
        <v>45947</v>
      </c>
      <c r="B652" t="s">
        <v>289</v>
      </c>
      <c r="C652" t="s">
        <v>605</v>
      </c>
      <c r="D652" t="s">
        <v>606</v>
      </c>
      <c r="E652" t="s">
        <v>607</v>
      </c>
      <c r="F652" t="s">
        <v>21</v>
      </c>
      <c r="G652">
        <v>2</v>
      </c>
      <c r="H652">
        <v>8198</v>
      </c>
      <c r="I652">
        <v>-163960</v>
      </c>
      <c r="K652">
        <v>8198</v>
      </c>
      <c r="L652">
        <v>-163960</v>
      </c>
      <c r="M652" t="s">
        <v>606</v>
      </c>
      <c r="N652" t="s">
        <v>605</v>
      </c>
    </row>
    <row r="653" spans="1:14" x14ac:dyDescent="0.25">
      <c r="A653" s="18">
        <v>45947</v>
      </c>
      <c r="B653" t="s">
        <v>319</v>
      </c>
      <c r="C653" t="s">
        <v>464</v>
      </c>
      <c r="D653" t="s">
        <v>465</v>
      </c>
      <c r="E653" t="s">
        <v>265</v>
      </c>
      <c r="F653" t="s">
        <v>49</v>
      </c>
      <c r="G653">
        <v>-3389</v>
      </c>
      <c r="H653">
        <v>34.501800000000003</v>
      </c>
      <c r="I653">
        <v>116926.60020000002</v>
      </c>
      <c r="K653">
        <v>34.501800000000003</v>
      </c>
      <c r="L653">
        <v>116926.60020000002</v>
      </c>
      <c r="M653" t="s">
        <v>465</v>
      </c>
      <c r="N653" t="s">
        <v>464</v>
      </c>
    </row>
    <row r="654" spans="1:14" x14ac:dyDescent="0.25">
      <c r="A654" s="18">
        <v>45947</v>
      </c>
      <c r="B654" t="s">
        <v>319</v>
      </c>
      <c r="C654" t="s">
        <v>464</v>
      </c>
      <c r="D654" t="s">
        <v>465</v>
      </c>
      <c r="E654" t="s">
        <v>265</v>
      </c>
      <c r="F654" t="s">
        <v>49</v>
      </c>
      <c r="G654">
        <v>-1753</v>
      </c>
      <c r="H654">
        <v>33.332000000000001</v>
      </c>
      <c r="I654">
        <v>58430.995999999999</v>
      </c>
      <c r="K654">
        <v>33.332000000000001</v>
      </c>
      <c r="L654">
        <v>58430.995999999999</v>
      </c>
      <c r="M654" t="s">
        <v>465</v>
      </c>
      <c r="N654" t="s">
        <v>464</v>
      </c>
    </row>
    <row r="655" spans="1:14" x14ac:dyDescent="0.25">
      <c r="A655" s="18">
        <v>45947</v>
      </c>
      <c r="B655" t="s">
        <v>319</v>
      </c>
      <c r="C655" t="s">
        <v>435</v>
      </c>
      <c r="D655" t="s">
        <v>99</v>
      </c>
      <c r="E655" t="s">
        <v>100</v>
      </c>
      <c r="F655" t="s">
        <v>21</v>
      </c>
      <c r="G655">
        <v>-15892</v>
      </c>
      <c r="H655">
        <v>8.2040000000000006</v>
      </c>
      <c r="I655">
        <v>130377.96800000001</v>
      </c>
      <c r="K655">
        <v>8.2040000000000006</v>
      </c>
      <c r="L655">
        <v>130377.96800000001</v>
      </c>
      <c r="M655" t="s">
        <v>99</v>
      </c>
      <c r="N655" t="s">
        <v>435</v>
      </c>
    </row>
    <row r="656" spans="1:14" x14ac:dyDescent="0.25">
      <c r="A656" s="18">
        <v>45950</v>
      </c>
      <c r="B656" t="s">
        <v>319</v>
      </c>
      <c r="C656" t="s">
        <v>477</v>
      </c>
      <c r="D656" t="s">
        <v>478</v>
      </c>
      <c r="E656" t="s">
        <v>277</v>
      </c>
      <c r="F656" t="s">
        <v>157</v>
      </c>
      <c r="G656">
        <v>-11642</v>
      </c>
      <c r="H656">
        <v>127.8442</v>
      </c>
      <c r="I656">
        <v>1488362.1764</v>
      </c>
      <c r="K656">
        <v>127.8442</v>
      </c>
      <c r="L656">
        <v>1488362.1764</v>
      </c>
      <c r="M656" t="s">
        <v>478</v>
      </c>
      <c r="N656" t="s">
        <v>477</v>
      </c>
    </row>
    <row r="657" spans="1:14" x14ac:dyDescent="0.25">
      <c r="A657" s="18">
        <v>45950</v>
      </c>
      <c r="B657" t="s">
        <v>319</v>
      </c>
      <c r="C657" t="s">
        <v>609</v>
      </c>
      <c r="D657" t="s">
        <v>610</v>
      </c>
      <c r="E657" t="s">
        <v>611</v>
      </c>
      <c r="F657" t="s">
        <v>21</v>
      </c>
      <c r="G657">
        <v>-1851</v>
      </c>
      <c r="H657">
        <v>54.240499999999997</v>
      </c>
      <c r="I657">
        <v>100399.16549999999</v>
      </c>
      <c r="K657">
        <v>54.24049999999999</v>
      </c>
      <c r="L657">
        <v>100399.16549999999</v>
      </c>
      <c r="M657" t="s">
        <v>610</v>
      </c>
      <c r="N657" t="s">
        <v>609</v>
      </c>
    </row>
    <row r="658" spans="1:14" x14ac:dyDescent="0.25">
      <c r="A658" s="18">
        <v>45950</v>
      </c>
      <c r="B658" t="s">
        <v>289</v>
      </c>
      <c r="C658" t="s">
        <v>599</v>
      </c>
      <c r="D658" t="s">
        <v>600</v>
      </c>
      <c r="E658" t="s">
        <v>601</v>
      </c>
      <c r="F658" t="s">
        <v>21</v>
      </c>
      <c r="G658">
        <v>508</v>
      </c>
      <c r="H658">
        <v>393.90879999999999</v>
      </c>
      <c r="I658">
        <v>-200105.6704</v>
      </c>
      <c r="K658">
        <v>393.90879999999999</v>
      </c>
      <c r="L658">
        <v>-200105.6704</v>
      </c>
      <c r="M658" t="s">
        <v>600</v>
      </c>
      <c r="N658" t="s">
        <v>599</v>
      </c>
    </row>
    <row r="659" spans="1:14" x14ac:dyDescent="0.25">
      <c r="A659" s="18">
        <v>45950</v>
      </c>
      <c r="B659" t="s">
        <v>289</v>
      </c>
      <c r="C659" t="s">
        <v>599</v>
      </c>
      <c r="D659" t="s">
        <v>600</v>
      </c>
      <c r="E659" t="s">
        <v>601</v>
      </c>
      <c r="F659" t="s">
        <v>21</v>
      </c>
      <c r="G659">
        <v>254</v>
      </c>
      <c r="H659">
        <v>395.72280000000001</v>
      </c>
      <c r="I659">
        <v>-100513.5912</v>
      </c>
      <c r="K659">
        <v>395.72280000000001</v>
      </c>
      <c r="L659">
        <v>-100513.5912</v>
      </c>
      <c r="M659" t="s">
        <v>600</v>
      </c>
      <c r="N659" t="s">
        <v>599</v>
      </c>
    </row>
    <row r="660" spans="1:14" x14ac:dyDescent="0.25">
      <c r="A660" s="18">
        <v>45950</v>
      </c>
      <c r="B660" t="s">
        <v>289</v>
      </c>
      <c r="C660" t="s">
        <v>608</v>
      </c>
      <c r="D660" t="s">
        <v>26</v>
      </c>
      <c r="E660" t="s">
        <v>27</v>
      </c>
      <c r="F660" t="s">
        <v>21</v>
      </c>
      <c r="G660">
        <v>309</v>
      </c>
      <c r="H660">
        <v>323.33109999999999</v>
      </c>
      <c r="I660">
        <v>-99909.309899999993</v>
      </c>
      <c r="K660">
        <v>323.33109999999999</v>
      </c>
      <c r="L660">
        <v>-99909.309899999993</v>
      </c>
      <c r="M660" t="s">
        <v>26</v>
      </c>
      <c r="N660" t="s">
        <v>608</v>
      </c>
    </row>
    <row r="661" spans="1:14" x14ac:dyDescent="0.25">
      <c r="A661" s="18">
        <v>45950</v>
      </c>
      <c r="B661" t="s">
        <v>289</v>
      </c>
      <c r="C661" t="s">
        <v>619</v>
      </c>
      <c r="D661" t="s">
        <v>620</v>
      </c>
      <c r="E661" t="s">
        <v>621</v>
      </c>
      <c r="F661" t="s">
        <v>21</v>
      </c>
      <c r="G661">
        <v>801</v>
      </c>
      <c r="H661">
        <v>311.69499999999999</v>
      </c>
      <c r="I661">
        <v>-249667.69500000001</v>
      </c>
      <c r="K661">
        <v>311.69499999999999</v>
      </c>
      <c r="L661">
        <v>-249667.69500000001</v>
      </c>
      <c r="M661" t="s">
        <v>620</v>
      </c>
      <c r="N661" t="s">
        <v>619</v>
      </c>
    </row>
    <row r="662" spans="1:14" x14ac:dyDescent="0.25">
      <c r="A662" s="18">
        <v>45950</v>
      </c>
      <c r="B662" t="s">
        <v>289</v>
      </c>
      <c r="C662" t="s">
        <v>619</v>
      </c>
      <c r="D662" t="s">
        <v>620</v>
      </c>
      <c r="E662" t="s">
        <v>621</v>
      </c>
      <c r="F662" t="s">
        <v>21</v>
      </c>
      <c r="G662">
        <v>321</v>
      </c>
      <c r="H662">
        <v>311.42939999999999</v>
      </c>
      <c r="I662">
        <v>-99968.837399999989</v>
      </c>
      <c r="K662">
        <v>311.42939999999999</v>
      </c>
      <c r="L662">
        <v>-99968.837399999989</v>
      </c>
      <c r="M662" t="s">
        <v>620</v>
      </c>
      <c r="N662" t="s">
        <v>619</v>
      </c>
    </row>
    <row r="663" spans="1:14" x14ac:dyDescent="0.25">
      <c r="A663" s="18">
        <v>45951</v>
      </c>
      <c r="B663" t="s">
        <v>289</v>
      </c>
      <c r="C663" t="s">
        <v>482</v>
      </c>
      <c r="D663" t="s">
        <v>483</v>
      </c>
      <c r="E663" t="s">
        <v>269</v>
      </c>
      <c r="F663" t="s">
        <v>49</v>
      </c>
      <c r="G663">
        <v>1621</v>
      </c>
      <c r="H663">
        <v>108.15130000000001</v>
      </c>
      <c r="I663">
        <v>-175313.2573</v>
      </c>
      <c r="K663">
        <v>108.15129999999999</v>
      </c>
      <c r="L663">
        <v>-175313.2573</v>
      </c>
      <c r="M663" t="s">
        <v>483</v>
      </c>
      <c r="N663" t="s">
        <v>482</v>
      </c>
    </row>
    <row r="664" spans="1:14" x14ac:dyDescent="0.25">
      <c r="A664" s="18">
        <v>45951</v>
      </c>
      <c r="B664" t="s">
        <v>289</v>
      </c>
      <c r="C664" t="s">
        <v>536</v>
      </c>
      <c r="D664" t="s">
        <v>537</v>
      </c>
      <c r="E664" t="s">
        <v>538</v>
      </c>
      <c r="F664" t="s">
        <v>21</v>
      </c>
      <c r="G664">
        <v>1359</v>
      </c>
      <c r="H664">
        <v>73.625</v>
      </c>
      <c r="I664">
        <v>-100056.375</v>
      </c>
      <c r="K664">
        <v>73.625</v>
      </c>
      <c r="L664">
        <v>-100056.375</v>
      </c>
      <c r="M664" t="s">
        <v>537</v>
      </c>
      <c r="N664" t="s">
        <v>536</v>
      </c>
    </row>
    <row r="665" spans="1:14" x14ac:dyDescent="0.25">
      <c r="A665" s="18">
        <v>45952</v>
      </c>
      <c r="B665" t="s">
        <v>289</v>
      </c>
      <c r="C665" t="s">
        <v>493</v>
      </c>
      <c r="D665" t="s">
        <v>28</v>
      </c>
      <c r="E665" t="s">
        <v>29</v>
      </c>
      <c r="F665" t="s">
        <v>21</v>
      </c>
      <c r="G665">
        <v>409</v>
      </c>
      <c r="H665">
        <v>246.55</v>
      </c>
      <c r="I665">
        <v>-100838.95000000001</v>
      </c>
      <c r="K665">
        <v>246.55000000000004</v>
      </c>
      <c r="L665">
        <v>-100838.95000000001</v>
      </c>
      <c r="M665" t="s">
        <v>28</v>
      </c>
      <c r="N665" t="s">
        <v>493</v>
      </c>
    </row>
    <row r="666" spans="1:14" x14ac:dyDescent="0.25">
      <c r="A666" s="18">
        <v>45952</v>
      </c>
      <c r="B666" t="s">
        <v>289</v>
      </c>
      <c r="C666" t="s">
        <v>311</v>
      </c>
      <c r="D666" t="s">
        <v>312</v>
      </c>
      <c r="E666" t="s">
        <v>313</v>
      </c>
      <c r="F666" t="s">
        <v>21</v>
      </c>
      <c r="G666">
        <v>324</v>
      </c>
      <c r="H666">
        <v>308.10000000000002</v>
      </c>
      <c r="I666">
        <v>-99824.400000000009</v>
      </c>
      <c r="K666">
        <v>308.10000000000002</v>
      </c>
      <c r="L666">
        <v>-99824.400000000009</v>
      </c>
      <c r="M666" t="s">
        <v>312</v>
      </c>
      <c r="N666" t="s">
        <v>311</v>
      </c>
    </row>
    <row r="667" spans="1:14" x14ac:dyDescent="0.25">
      <c r="A667" s="18">
        <v>45952</v>
      </c>
      <c r="B667" t="s">
        <v>289</v>
      </c>
      <c r="C667" t="s">
        <v>486</v>
      </c>
      <c r="D667" t="s">
        <v>487</v>
      </c>
      <c r="E667" t="s">
        <v>488</v>
      </c>
      <c r="F667" t="s">
        <v>49</v>
      </c>
      <c r="G667">
        <v>333</v>
      </c>
      <c r="H667">
        <v>522.97979999999995</v>
      </c>
      <c r="I667">
        <v>-174152.27339999998</v>
      </c>
      <c r="K667">
        <v>522.97979999999995</v>
      </c>
      <c r="L667">
        <v>-174152.27339999998</v>
      </c>
      <c r="M667" t="s">
        <v>487</v>
      </c>
      <c r="N667" t="s">
        <v>486</v>
      </c>
    </row>
    <row r="668" spans="1:14" x14ac:dyDescent="0.25">
      <c r="A668" s="18">
        <v>45952</v>
      </c>
      <c r="B668" t="s">
        <v>289</v>
      </c>
      <c r="C668" t="s">
        <v>599</v>
      </c>
      <c r="D668" t="s">
        <v>600</v>
      </c>
      <c r="E668" t="s">
        <v>601</v>
      </c>
      <c r="F668" t="s">
        <v>21</v>
      </c>
      <c r="G668">
        <v>135</v>
      </c>
      <c r="H668">
        <v>372.47500000000002</v>
      </c>
      <c r="I668">
        <v>-50284.125</v>
      </c>
      <c r="K668">
        <v>372.47500000000002</v>
      </c>
      <c r="L668">
        <v>-50284.125</v>
      </c>
      <c r="M668" t="s">
        <v>600</v>
      </c>
      <c r="N668" t="s">
        <v>599</v>
      </c>
    </row>
    <row r="669" spans="1:14" x14ac:dyDescent="0.25">
      <c r="A669" s="18">
        <v>45952</v>
      </c>
      <c r="B669" t="s">
        <v>289</v>
      </c>
      <c r="C669" t="s">
        <v>599</v>
      </c>
      <c r="D669" t="s">
        <v>600</v>
      </c>
      <c r="E669" t="s">
        <v>601</v>
      </c>
      <c r="F669" t="s">
        <v>21</v>
      </c>
      <c r="G669">
        <v>267</v>
      </c>
      <c r="H669">
        <v>374.3279</v>
      </c>
      <c r="I669">
        <v>-99945.549299999999</v>
      </c>
      <c r="K669">
        <v>374.3279</v>
      </c>
      <c r="L669">
        <v>-99945.549299999999</v>
      </c>
      <c r="M669" t="s">
        <v>600</v>
      </c>
      <c r="N669" t="s">
        <v>599</v>
      </c>
    </row>
    <row r="670" spans="1:14" x14ac:dyDescent="0.25">
      <c r="A670" s="18">
        <v>45952</v>
      </c>
      <c r="B670" t="s">
        <v>319</v>
      </c>
      <c r="C670" t="s">
        <v>316</v>
      </c>
      <c r="D670" t="s">
        <v>317</v>
      </c>
      <c r="E670" t="s">
        <v>274</v>
      </c>
      <c r="F670" t="s">
        <v>21</v>
      </c>
      <c r="G670">
        <v>-2641</v>
      </c>
      <c r="H670">
        <v>56.7804</v>
      </c>
      <c r="I670">
        <v>149957.03640000001</v>
      </c>
      <c r="K670">
        <v>56.780400000000007</v>
      </c>
      <c r="L670">
        <v>149957.03640000001</v>
      </c>
      <c r="M670" t="s">
        <v>317</v>
      </c>
      <c r="N670" t="s">
        <v>316</v>
      </c>
    </row>
    <row r="671" spans="1:14" x14ac:dyDescent="0.25">
      <c r="A671" s="18">
        <v>45952</v>
      </c>
      <c r="B671" t="s">
        <v>319</v>
      </c>
      <c r="C671" t="s">
        <v>425</v>
      </c>
      <c r="D671" t="s">
        <v>426</v>
      </c>
      <c r="E671" t="s">
        <v>427</v>
      </c>
      <c r="F671" t="s">
        <v>49</v>
      </c>
      <c r="G671">
        <v>-5290</v>
      </c>
      <c r="H671">
        <v>22.294</v>
      </c>
      <c r="I671">
        <v>117935.26000000001</v>
      </c>
      <c r="K671">
        <v>22.294</v>
      </c>
      <c r="L671">
        <v>117935.26000000001</v>
      </c>
      <c r="M671" t="s">
        <v>426</v>
      </c>
      <c r="N671" t="s">
        <v>425</v>
      </c>
    </row>
    <row r="672" spans="1:14" x14ac:dyDescent="0.25">
      <c r="A672" s="18">
        <v>45952</v>
      </c>
      <c r="B672" t="s">
        <v>319</v>
      </c>
      <c r="C672" t="s">
        <v>425</v>
      </c>
      <c r="D672" t="s">
        <v>426</v>
      </c>
      <c r="E672" t="s">
        <v>427</v>
      </c>
      <c r="F672" t="s">
        <v>49</v>
      </c>
      <c r="G672">
        <v>-4254</v>
      </c>
      <c r="H672">
        <v>21.990400000000001</v>
      </c>
      <c r="I672">
        <v>93547.161600000007</v>
      </c>
      <c r="K672">
        <v>21.990400000000001</v>
      </c>
      <c r="L672">
        <v>93547.161600000007</v>
      </c>
      <c r="M672" t="s">
        <v>426</v>
      </c>
      <c r="N672" t="s">
        <v>425</v>
      </c>
    </row>
    <row r="673" spans="1:14" x14ac:dyDescent="0.25">
      <c r="A673" s="18">
        <v>45952</v>
      </c>
      <c r="B673" t="s">
        <v>319</v>
      </c>
      <c r="C673" t="s">
        <v>425</v>
      </c>
      <c r="D673" t="s">
        <v>426</v>
      </c>
      <c r="E673" t="s">
        <v>427</v>
      </c>
      <c r="F673" t="s">
        <v>49</v>
      </c>
      <c r="G673">
        <v>-5254</v>
      </c>
      <c r="H673">
        <v>22.092600000000001</v>
      </c>
      <c r="I673">
        <v>116074.52040000001</v>
      </c>
      <c r="K673">
        <v>22.092600000000001</v>
      </c>
      <c r="L673">
        <v>116074.52040000001</v>
      </c>
      <c r="M673" t="s">
        <v>426</v>
      </c>
      <c r="N673" t="s">
        <v>425</v>
      </c>
    </row>
    <row r="674" spans="1:14" x14ac:dyDescent="0.25">
      <c r="A674" s="18">
        <v>45952</v>
      </c>
      <c r="B674" t="s">
        <v>319</v>
      </c>
      <c r="C674" t="s">
        <v>575</v>
      </c>
      <c r="D674" t="s">
        <v>576</v>
      </c>
      <c r="E674" t="s">
        <v>577</v>
      </c>
      <c r="F674" t="s">
        <v>21</v>
      </c>
      <c r="G674">
        <v>-60</v>
      </c>
      <c r="H674">
        <v>22248.07</v>
      </c>
      <c r="I674">
        <v>1334884.2</v>
      </c>
      <c r="K674">
        <v>22248.07</v>
      </c>
      <c r="L674">
        <v>1334884.2</v>
      </c>
      <c r="M674" t="s">
        <v>576</v>
      </c>
      <c r="N674" t="s">
        <v>575</v>
      </c>
    </row>
    <row r="675" spans="1:14" x14ac:dyDescent="0.25">
      <c r="A675" s="18">
        <v>45952</v>
      </c>
      <c r="B675" t="s">
        <v>289</v>
      </c>
      <c r="C675" t="s">
        <v>622</v>
      </c>
      <c r="D675" t="s">
        <v>623</v>
      </c>
      <c r="E675" t="s">
        <v>624</v>
      </c>
      <c r="F675" t="s">
        <v>49</v>
      </c>
      <c r="G675">
        <v>103</v>
      </c>
      <c r="H675">
        <v>564.32000000000005</v>
      </c>
      <c r="I675">
        <v>-58124.960000000006</v>
      </c>
      <c r="K675">
        <v>564.32000000000005</v>
      </c>
      <c r="L675">
        <v>-58124.960000000006</v>
      </c>
      <c r="M675" t="s">
        <v>623</v>
      </c>
      <c r="N675" t="s">
        <v>622</v>
      </c>
    </row>
    <row r="676" spans="1:14" x14ac:dyDescent="0.25">
      <c r="A676" s="18">
        <v>45953</v>
      </c>
      <c r="B676" t="s">
        <v>289</v>
      </c>
      <c r="C676" t="s">
        <v>314</v>
      </c>
      <c r="D676" t="s">
        <v>315</v>
      </c>
      <c r="E676" t="s">
        <v>362</v>
      </c>
      <c r="F676" t="s">
        <v>21</v>
      </c>
      <c r="G676">
        <v>2978</v>
      </c>
      <c r="H676">
        <v>25.189599999999999</v>
      </c>
      <c r="I676">
        <v>-75014.628799999991</v>
      </c>
      <c r="K676">
        <v>25.189599999999999</v>
      </c>
      <c r="L676">
        <v>-75014.628799999991</v>
      </c>
      <c r="M676" t="s">
        <v>315</v>
      </c>
      <c r="N676" t="s">
        <v>314</v>
      </c>
    </row>
    <row r="677" spans="1:14" x14ac:dyDescent="0.25">
      <c r="A677" s="18">
        <v>45953</v>
      </c>
      <c r="B677" t="s">
        <v>289</v>
      </c>
      <c r="C677" t="s">
        <v>486</v>
      </c>
      <c r="D677" t="s">
        <v>487</v>
      </c>
      <c r="E677" t="s">
        <v>488</v>
      </c>
      <c r="F677" t="s">
        <v>49</v>
      </c>
      <c r="G677">
        <v>445</v>
      </c>
      <c r="H677">
        <v>521.94920000000002</v>
      </c>
      <c r="I677">
        <v>-232267.394</v>
      </c>
      <c r="K677">
        <v>521.94920000000002</v>
      </c>
      <c r="L677">
        <v>-232267.394</v>
      </c>
      <c r="M677" t="s">
        <v>487</v>
      </c>
      <c r="N677" t="s">
        <v>486</v>
      </c>
    </row>
    <row r="678" spans="1:14" x14ac:dyDescent="0.25">
      <c r="A678" s="18">
        <v>45953</v>
      </c>
      <c r="B678" t="s">
        <v>319</v>
      </c>
      <c r="C678" t="s">
        <v>404</v>
      </c>
      <c r="D678" t="s">
        <v>405</v>
      </c>
      <c r="E678" t="s">
        <v>261</v>
      </c>
      <c r="F678" t="s">
        <v>21</v>
      </c>
      <c r="G678">
        <v>-4308</v>
      </c>
      <c r="H678">
        <v>34.709800000000001</v>
      </c>
      <c r="I678">
        <v>149529.81840000002</v>
      </c>
      <c r="K678">
        <v>34.709800000000001</v>
      </c>
      <c r="L678">
        <v>149529.81840000002</v>
      </c>
      <c r="M678" t="s">
        <v>405</v>
      </c>
      <c r="N678" t="s">
        <v>404</v>
      </c>
    </row>
    <row r="679" spans="1:14" x14ac:dyDescent="0.25">
      <c r="A679" s="18">
        <v>45953</v>
      </c>
      <c r="B679" t="s">
        <v>319</v>
      </c>
      <c r="C679" t="s">
        <v>404</v>
      </c>
      <c r="D679" t="s">
        <v>405</v>
      </c>
      <c r="E679" t="s">
        <v>261</v>
      </c>
      <c r="F679" t="s">
        <v>21</v>
      </c>
      <c r="G679">
        <v>-2902</v>
      </c>
      <c r="H679">
        <v>34.305900000000001</v>
      </c>
      <c r="I679">
        <v>99555.721799999999</v>
      </c>
      <c r="K679">
        <v>34.305900000000001</v>
      </c>
      <c r="L679">
        <v>99555.721799999999</v>
      </c>
      <c r="M679" t="s">
        <v>405</v>
      </c>
      <c r="N679" t="s">
        <v>404</v>
      </c>
    </row>
    <row r="680" spans="1:14" x14ac:dyDescent="0.25">
      <c r="A680" s="18">
        <v>45953</v>
      </c>
      <c r="B680" t="s">
        <v>289</v>
      </c>
      <c r="C680" t="s">
        <v>325</v>
      </c>
      <c r="D680" t="s">
        <v>47</v>
      </c>
      <c r="E680" t="s">
        <v>48</v>
      </c>
      <c r="F680" t="s">
        <v>36</v>
      </c>
      <c r="G680">
        <v>750</v>
      </c>
      <c r="H680">
        <v>87.06</v>
      </c>
      <c r="I680">
        <v>-65295</v>
      </c>
      <c r="K680">
        <v>87.06</v>
      </c>
      <c r="L680">
        <v>-65295</v>
      </c>
      <c r="M680" t="s">
        <v>47</v>
      </c>
      <c r="N680" t="s">
        <v>325</v>
      </c>
    </row>
    <row r="681" spans="1:14" x14ac:dyDescent="0.25">
      <c r="A681" s="18">
        <v>45953</v>
      </c>
      <c r="B681" t="s">
        <v>289</v>
      </c>
      <c r="C681" t="s">
        <v>325</v>
      </c>
      <c r="D681" t="s">
        <v>47</v>
      </c>
      <c r="E681" t="s">
        <v>48</v>
      </c>
      <c r="F681" t="s">
        <v>36</v>
      </c>
      <c r="G681">
        <v>499</v>
      </c>
      <c r="H681">
        <v>87.358699999999999</v>
      </c>
      <c r="I681">
        <v>-43591.991300000002</v>
      </c>
      <c r="K681">
        <v>87.358699999999999</v>
      </c>
      <c r="L681">
        <v>-43591.991300000002</v>
      </c>
      <c r="M681" t="s">
        <v>47</v>
      </c>
      <c r="N681" t="s">
        <v>325</v>
      </c>
    </row>
    <row r="682" spans="1:14" x14ac:dyDescent="0.25">
      <c r="A682" s="18">
        <v>45953</v>
      </c>
      <c r="B682" t="s">
        <v>289</v>
      </c>
      <c r="C682" t="s">
        <v>452</v>
      </c>
      <c r="D682" t="s">
        <v>453</v>
      </c>
      <c r="E682" t="s">
        <v>454</v>
      </c>
      <c r="F682" t="s">
        <v>162</v>
      </c>
      <c r="G682">
        <v>3292</v>
      </c>
      <c r="H682">
        <v>162.5</v>
      </c>
      <c r="I682">
        <v>-534950</v>
      </c>
      <c r="K682">
        <v>162.5</v>
      </c>
      <c r="L682">
        <v>-534950</v>
      </c>
      <c r="M682" t="s">
        <v>453</v>
      </c>
      <c r="N682" t="s">
        <v>452</v>
      </c>
    </row>
    <row r="683" spans="1:14" x14ac:dyDescent="0.25">
      <c r="A683" s="18">
        <v>45954</v>
      </c>
      <c r="B683" t="s">
        <v>319</v>
      </c>
      <c r="C683" t="s">
        <v>290</v>
      </c>
      <c r="D683" t="s">
        <v>45</v>
      </c>
      <c r="E683" t="s">
        <v>46</v>
      </c>
      <c r="F683" t="s">
        <v>21</v>
      </c>
      <c r="G683">
        <v>-1073</v>
      </c>
      <c r="H683">
        <v>46.709699999999998</v>
      </c>
      <c r="I683">
        <v>50119.508099999999</v>
      </c>
      <c r="K683">
        <v>46.709699999999998</v>
      </c>
      <c r="L683">
        <v>50119.508099999999</v>
      </c>
      <c r="M683" t="s">
        <v>45</v>
      </c>
      <c r="N683" t="s">
        <v>290</v>
      </c>
    </row>
    <row r="684" spans="1:14" x14ac:dyDescent="0.25">
      <c r="A684" s="18">
        <v>45954</v>
      </c>
      <c r="B684" t="s">
        <v>289</v>
      </c>
      <c r="C684" t="s">
        <v>311</v>
      </c>
      <c r="D684" t="s">
        <v>312</v>
      </c>
      <c r="E684" t="s">
        <v>313</v>
      </c>
      <c r="F684" t="s">
        <v>21</v>
      </c>
      <c r="G684">
        <v>328</v>
      </c>
      <c r="H684">
        <v>305.08659999999998</v>
      </c>
      <c r="I684">
        <v>-100068.40479999999</v>
      </c>
      <c r="K684">
        <v>305.08659999999998</v>
      </c>
      <c r="L684">
        <v>-100068.40479999999</v>
      </c>
      <c r="M684" t="s">
        <v>312</v>
      </c>
      <c r="N684" t="s">
        <v>311</v>
      </c>
    </row>
    <row r="685" spans="1:14" x14ac:dyDescent="0.25">
      <c r="A685" s="18">
        <v>45954</v>
      </c>
      <c r="B685" t="s">
        <v>289</v>
      </c>
      <c r="C685" t="s">
        <v>311</v>
      </c>
      <c r="D685" t="s">
        <v>312</v>
      </c>
      <c r="E685" t="s">
        <v>313</v>
      </c>
      <c r="F685" t="s">
        <v>21</v>
      </c>
      <c r="G685">
        <v>166</v>
      </c>
      <c r="H685">
        <v>302.14999999999998</v>
      </c>
      <c r="I685">
        <v>-50156.899999999994</v>
      </c>
      <c r="K685">
        <v>302.14999999999998</v>
      </c>
      <c r="L685">
        <v>-50156.899999999994</v>
      </c>
      <c r="M685" t="s">
        <v>312</v>
      </c>
      <c r="N685" t="s">
        <v>311</v>
      </c>
    </row>
    <row r="686" spans="1:14" x14ac:dyDescent="0.25">
      <c r="A686" s="18">
        <v>45954</v>
      </c>
      <c r="B686" t="s">
        <v>289</v>
      </c>
      <c r="C686" t="s">
        <v>608</v>
      </c>
      <c r="D686" t="s">
        <v>26</v>
      </c>
      <c r="E686" t="s">
        <v>27</v>
      </c>
      <c r="F686" t="s">
        <v>21</v>
      </c>
      <c r="G686">
        <v>150</v>
      </c>
      <c r="H686">
        <v>334.3623</v>
      </c>
      <c r="I686">
        <v>-50154.345000000001</v>
      </c>
      <c r="K686">
        <v>334.3623</v>
      </c>
      <c r="L686">
        <v>-50154.345000000001</v>
      </c>
      <c r="M686" t="s">
        <v>26</v>
      </c>
      <c r="N686" t="s">
        <v>608</v>
      </c>
    </row>
    <row r="687" spans="1:14" x14ac:dyDescent="0.25">
      <c r="A687" s="18">
        <v>45954</v>
      </c>
      <c r="B687" t="s">
        <v>289</v>
      </c>
      <c r="C687" t="s">
        <v>608</v>
      </c>
      <c r="D687" t="s">
        <v>26</v>
      </c>
      <c r="E687" t="s">
        <v>27</v>
      </c>
      <c r="F687" t="s">
        <v>21</v>
      </c>
      <c r="G687">
        <v>153</v>
      </c>
      <c r="H687">
        <v>328.02499999999998</v>
      </c>
      <c r="I687">
        <v>-50187.824999999997</v>
      </c>
      <c r="K687">
        <v>328.02499999999998</v>
      </c>
      <c r="L687">
        <v>-50187.824999999997</v>
      </c>
      <c r="M687" t="s">
        <v>26</v>
      </c>
      <c r="N687" t="s">
        <v>608</v>
      </c>
    </row>
    <row r="688" spans="1:14" x14ac:dyDescent="0.25">
      <c r="A688" s="18">
        <v>45958</v>
      </c>
      <c r="B688" t="s">
        <v>319</v>
      </c>
      <c r="C688" t="s">
        <v>353</v>
      </c>
      <c r="D688" t="s">
        <v>122</v>
      </c>
      <c r="E688" t="s">
        <v>297</v>
      </c>
      <c r="F688" t="s">
        <v>21</v>
      </c>
      <c r="G688">
        <v>-1087</v>
      </c>
      <c r="H688">
        <v>225.5145</v>
      </c>
      <c r="I688">
        <v>245134.26149999999</v>
      </c>
      <c r="K688">
        <v>225.5145</v>
      </c>
      <c r="L688">
        <v>245134.26149999999</v>
      </c>
      <c r="M688" t="s">
        <v>122</v>
      </c>
      <c r="N688" t="s">
        <v>353</v>
      </c>
    </row>
    <row r="689" spans="1:14" x14ac:dyDescent="0.25">
      <c r="A689" s="18">
        <v>45958</v>
      </c>
      <c r="B689" t="s">
        <v>289</v>
      </c>
      <c r="C689" t="s">
        <v>328</v>
      </c>
      <c r="D689" t="s">
        <v>329</v>
      </c>
      <c r="E689" t="s">
        <v>330</v>
      </c>
      <c r="F689" t="s">
        <v>21</v>
      </c>
      <c r="G689">
        <v>29</v>
      </c>
      <c r="H689">
        <v>1711.5</v>
      </c>
      <c r="I689">
        <v>-49633.5</v>
      </c>
      <c r="K689">
        <v>1711.5</v>
      </c>
      <c r="L689">
        <v>-49633.5</v>
      </c>
      <c r="M689" t="s">
        <v>329</v>
      </c>
      <c r="N689" t="s">
        <v>328</v>
      </c>
    </row>
    <row r="690" spans="1:14" x14ac:dyDescent="0.25">
      <c r="A690" s="18">
        <v>45958</v>
      </c>
      <c r="B690" t="s">
        <v>289</v>
      </c>
      <c r="C690" t="s">
        <v>489</v>
      </c>
      <c r="D690" t="s">
        <v>66</v>
      </c>
      <c r="E690" t="s">
        <v>67</v>
      </c>
      <c r="F690" t="s">
        <v>49</v>
      </c>
      <c r="G690">
        <v>25</v>
      </c>
      <c r="H690">
        <v>2295.2251999999999</v>
      </c>
      <c r="I690">
        <v>-57380.63</v>
      </c>
      <c r="K690">
        <v>2295.2251999999999</v>
      </c>
      <c r="L690">
        <v>-57380.63</v>
      </c>
      <c r="M690" t="s">
        <v>66</v>
      </c>
      <c r="N690" t="s">
        <v>489</v>
      </c>
    </row>
    <row r="691" spans="1:14" x14ac:dyDescent="0.25">
      <c r="A691" s="18">
        <v>45958</v>
      </c>
      <c r="B691" t="s">
        <v>289</v>
      </c>
      <c r="C691" t="s">
        <v>489</v>
      </c>
      <c r="D691" t="s">
        <v>66</v>
      </c>
      <c r="E691" t="s">
        <v>67</v>
      </c>
      <c r="F691" t="s">
        <v>49</v>
      </c>
      <c r="G691">
        <v>26</v>
      </c>
      <c r="H691">
        <v>2269.9429</v>
      </c>
      <c r="I691">
        <v>-59018.515400000004</v>
      </c>
      <c r="K691">
        <v>2269.9429</v>
      </c>
      <c r="L691">
        <v>-59018.515400000004</v>
      </c>
      <c r="M691" t="s">
        <v>66</v>
      </c>
      <c r="N691" t="s">
        <v>489</v>
      </c>
    </row>
    <row r="692" spans="1:14" x14ac:dyDescent="0.25">
      <c r="A692" s="18">
        <v>45958</v>
      </c>
      <c r="B692" t="s">
        <v>289</v>
      </c>
      <c r="C692" t="s">
        <v>450</v>
      </c>
      <c r="D692" t="s">
        <v>116</v>
      </c>
      <c r="E692" t="s">
        <v>451</v>
      </c>
      <c r="F692" t="s">
        <v>21</v>
      </c>
      <c r="G692">
        <v>13625</v>
      </c>
      <c r="H692">
        <v>7.3369999999999997</v>
      </c>
      <c r="I692">
        <v>-99966.625</v>
      </c>
      <c r="K692">
        <v>7.3369999999999997</v>
      </c>
      <c r="L692">
        <v>-99966.625</v>
      </c>
      <c r="M692" t="s">
        <v>116</v>
      </c>
      <c r="N692" t="s">
        <v>450</v>
      </c>
    </row>
    <row r="693" spans="1:14" x14ac:dyDescent="0.25">
      <c r="A693" s="18">
        <v>45958</v>
      </c>
      <c r="B693" t="s">
        <v>289</v>
      </c>
      <c r="C693" t="s">
        <v>450</v>
      </c>
      <c r="D693" t="s">
        <v>116</v>
      </c>
      <c r="E693" t="s">
        <v>451</v>
      </c>
      <c r="F693" t="s">
        <v>21</v>
      </c>
      <c r="G693">
        <v>6794</v>
      </c>
      <c r="H693">
        <v>7.367</v>
      </c>
      <c r="I693">
        <v>-50051.398000000001</v>
      </c>
      <c r="K693">
        <v>7.367</v>
      </c>
      <c r="L693">
        <v>-50051.398000000001</v>
      </c>
      <c r="M693" t="s">
        <v>116</v>
      </c>
      <c r="N693" t="s">
        <v>450</v>
      </c>
    </row>
    <row r="694" spans="1:14" x14ac:dyDescent="0.25">
      <c r="A694" s="18">
        <v>45958</v>
      </c>
      <c r="B694" t="s">
        <v>319</v>
      </c>
      <c r="C694" t="s">
        <v>301</v>
      </c>
      <c r="D694" t="s">
        <v>120</v>
      </c>
      <c r="E694" t="s">
        <v>363</v>
      </c>
      <c r="F694" t="s">
        <v>21</v>
      </c>
      <c r="G694">
        <v>-810</v>
      </c>
      <c r="H694">
        <v>307.50209999999998</v>
      </c>
      <c r="I694">
        <v>249076.701</v>
      </c>
      <c r="K694">
        <v>307.50209999999998</v>
      </c>
      <c r="L694">
        <v>249076.701</v>
      </c>
      <c r="M694" t="s">
        <v>120</v>
      </c>
      <c r="N694" t="s">
        <v>301</v>
      </c>
    </row>
    <row r="695" spans="1:14" x14ac:dyDescent="0.25">
      <c r="A695" s="18">
        <v>45958</v>
      </c>
      <c r="B695" t="s">
        <v>289</v>
      </c>
      <c r="C695" t="s">
        <v>548</v>
      </c>
      <c r="D695" t="s">
        <v>549</v>
      </c>
      <c r="E695" t="s">
        <v>550</v>
      </c>
      <c r="F695" t="s">
        <v>21</v>
      </c>
      <c r="G695">
        <v>12738</v>
      </c>
      <c r="H695">
        <v>3.8759999999999999</v>
      </c>
      <c r="I695">
        <v>-49372.487999999998</v>
      </c>
      <c r="K695">
        <v>3.8759999999999999</v>
      </c>
      <c r="L695">
        <v>-49372.487999999998</v>
      </c>
      <c r="M695" t="s">
        <v>549</v>
      </c>
      <c r="N695" t="s">
        <v>548</v>
      </c>
    </row>
    <row r="696" spans="1:14" x14ac:dyDescent="0.25">
      <c r="A696" s="18">
        <v>45958</v>
      </c>
      <c r="B696" t="s">
        <v>289</v>
      </c>
      <c r="C696" t="s">
        <v>452</v>
      </c>
      <c r="D696" t="s">
        <v>453</v>
      </c>
      <c r="E696" t="s">
        <v>454</v>
      </c>
      <c r="F696" t="s">
        <v>162</v>
      </c>
      <c r="G696">
        <v>6530</v>
      </c>
      <c r="H696">
        <v>167.31469999999999</v>
      </c>
      <c r="I696">
        <v>-1092564.9909999999</v>
      </c>
      <c r="K696">
        <v>167.31469999999999</v>
      </c>
      <c r="L696">
        <v>-1092564.9909999999</v>
      </c>
      <c r="M696" t="s">
        <v>453</v>
      </c>
      <c r="N696" t="s">
        <v>452</v>
      </c>
    </row>
    <row r="697" spans="1:14" x14ac:dyDescent="0.25">
      <c r="A697" s="18">
        <v>45958</v>
      </c>
      <c r="B697" t="s">
        <v>319</v>
      </c>
      <c r="C697" t="s">
        <v>622</v>
      </c>
      <c r="D697" t="s">
        <v>623</v>
      </c>
      <c r="E697" t="s">
        <v>624</v>
      </c>
      <c r="F697" t="s">
        <v>49</v>
      </c>
      <c r="G697">
        <v>-103</v>
      </c>
      <c r="H697">
        <v>631.50160000000005</v>
      </c>
      <c r="I697">
        <v>65044.664800000006</v>
      </c>
      <c r="K697">
        <v>631.50160000000005</v>
      </c>
      <c r="L697">
        <v>65044.664800000006</v>
      </c>
      <c r="M697" t="s">
        <v>623</v>
      </c>
      <c r="N697" t="s">
        <v>622</v>
      </c>
    </row>
    <row r="698" spans="1:14" x14ac:dyDescent="0.25">
      <c r="A698" s="18">
        <v>45958</v>
      </c>
      <c r="B698" t="s">
        <v>289</v>
      </c>
      <c r="C698" t="s">
        <v>331</v>
      </c>
      <c r="D698" t="s">
        <v>332</v>
      </c>
      <c r="E698" t="s">
        <v>333</v>
      </c>
      <c r="F698" t="s">
        <v>21</v>
      </c>
      <c r="G698">
        <v>34</v>
      </c>
      <c r="H698">
        <v>1486.2</v>
      </c>
      <c r="I698">
        <v>-50530.8</v>
      </c>
      <c r="K698">
        <v>1486.2</v>
      </c>
      <c r="L698">
        <v>-50530.8</v>
      </c>
      <c r="M698" t="s">
        <v>332</v>
      </c>
      <c r="N698" t="s">
        <v>331</v>
      </c>
    </row>
    <row r="699" spans="1:14" x14ac:dyDescent="0.25">
      <c r="A699" s="18">
        <v>45959</v>
      </c>
      <c r="B699" t="s">
        <v>289</v>
      </c>
      <c r="C699" t="s">
        <v>625</v>
      </c>
      <c r="D699" t="s">
        <v>626</v>
      </c>
      <c r="E699" t="s">
        <v>627</v>
      </c>
      <c r="F699" t="s">
        <v>21</v>
      </c>
      <c r="G699">
        <v>995</v>
      </c>
      <c r="H699">
        <v>75.669799999999995</v>
      </c>
      <c r="I699">
        <v>-75291.451000000001</v>
      </c>
      <c r="K699">
        <v>75.669799999999995</v>
      </c>
      <c r="L699">
        <v>-75291.451000000001</v>
      </c>
      <c r="M699" t="s">
        <v>626</v>
      </c>
      <c r="N699" t="s">
        <v>625</v>
      </c>
    </row>
    <row r="700" spans="1:14" x14ac:dyDescent="0.25">
      <c r="A700" s="18">
        <v>45959</v>
      </c>
      <c r="B700" t="s">
        <v>319</v>
      </c>
      <c r="C700" t="s">
        <v>308</v>
      </c>
      <c r="D700" t="s">
        <v>309</v>
      </c>
      <c r="E700" t="s">
        <v>310</v>
      </c>
      <c r="F700" t="s">
        <v>21</v>
      </c>
      <c r="G700">
        <v>-3305</v>
      </c>
      <c r="H700">
        <v>15.7271</v>
      </c>
      <c r="I700">
        <v>51978.065499999997</v>
      </c>
      <c r="K700">
        <v>15.727099999999998</v>
      </c>
      <c r="L700">
        <v>51978.065499999997</v>
      </c>
      <c r="M700" t="s">
        <v>309</v>
      </c>
      <c r="N700" t="s">
        <v>308</v>
      </c>
    </row>
    <row r="701" spans="1:14" x14ac:dyDescent="0.25">
      <c r="A701" s="18">
        <v>45959</v>
      </c>
      <c r="B701" t="s">
        <v>289</v>
      </c>
      <c r="C701" t="s">
        <v>484</v>
      </c>
      <c r="D701" t="s">
        <v>30</v>
      </c>
      <c r="E701" t="s">
        <v>31</v>
      </c>
      <c r="F701" t="s">
        <v>21</v>
      </c>
      <c r="G701">
        <v>507</v>
      </c>
      <c r="H701">
        <v>147.9</v>
      </c>
      <c r="I701">
        <v>-74985.3</v>
      </c>
      <c r="K701">
        <v>147.9</v>
      </c>
      <c r="L701">
        <v>-74985.3</v>
      </c>
      <c r="M701" t="s">
        <v>30</v>
      </c>
      <c r="N701" t="s">
        <v>484</v>
      </c>
    </row>
    <row r="702" spans="1:14" x14ac:dyDescent="0.25">
      <c r="A702" s="18">
        <v>45959</v>
      </c>
      <c r="B702" t="s">
        <v>319</v>
      </c>
      <c r="C702" t="s">
        <v>573</v>
      </c>
      <c r="D702" t="s">
        <v>124</v>
      </c>
      <c r="E702" t="s">
        <v>574</v>
      </c>
      <c r="F702" t="s">
        <v>21</v>
      </c>
      <c r="G702">
        <v>-4500</v>
      </c>
      <c r="H702">
        <v>110.42</v>
      </c>
      <c r="I702">
        <v>496890</v>
      </c>
      <c r="K702">
        <v>110.42</v>
      </c>
      <c r="L702">
        <v>496890</v>
      </c>
      <c r="M702" t="s">
        <v>124</v>
      </c>
      <c r="N702" t="s">
        <v>573</v>
      </c>
    </row>
    <row r="703" spans="1:14" x14ac:dyDescent="0.25">
      <c r="A703" s="18">
        <v>45959</v>
      </c>
      <c r="B703" t="s">
        <v>289</v>
      </c>
      <c r="C703" t="s">
        <v>486</v>
      </c>
      <c r="D703" t="s">
        <v>487</v>
      </c>
      <c r="E703" t="s">
        <v>488</v>
      </c>
      <c r="F703" t="s">
        <v>49</v>
      </c>
      <c r="G703">
        <v>162</v>
      </c>
      <c r="H703">
        <v>538.17999999999995</v>
      </c>
      <c r="I703">
        <v>-87185.159999999989</v>
      </c>
      <c r="K703">
        <v>538.17999999999995</v>
      </c>
      <c r="L703">
        <v>-87185.159999999989</v>
      </c>
      <c r="M703" t="s">
        <v>487</v>
      </c>
      <c r="N703" t="s">
        <v>486</v>
      </c>
    </row>
    <row r="704" spans="1:14" x14ac:dyDescent="0.25">
      <c r="A704" s="18">
        <v>45959</v>
      </c>
      <c r="B704" t="s">
        <v>319</v>
      </c>
      <c r="C704" t="s">
        <v>471</v>
      </c>
      <c r="D704" t="s">
        <v>472</v>
      </c>
      <c r="E704" t="s">
        <v>473</v>
      </c>
      <c r="F704" t="s">
        <v>49</v>
      </c>
      <c r="G704">
        <v>-6385</v>
      </c>
      <c r="H704">
        <v>18.9741</v>
      </c>
      <c r="I704">
        <v>121149.62850000001</v>
      </c>
      <c r="K704">
        <v>18.9741</v>
      </c>
      <c r="L704">
        <v>121149.62850000001</v>
      </c>
      <c r="M704" t="s">
        <v>472</v>
      </c>
      <c r="N704" t="s">
        <v>471</v>
      </c>
    </row>
    <row r="705" spans="1:14" x14ac:dyDescent="0.25">
      <c r="A705" s="18">
        <v>45959</v>
      </c>
      <c r="B705" t="s">
        <v>319</v>
      </c>
      <c r="C705" t="s">
        <v>471</v>
      </c>
      <c r="D705" t="s">
        <v>472</v>
      </c>
      <c r="E705" t="s">
        <v>473</v>
      </c>
      <c r="F705" t="s">
        <v>49</v>
      </c>
      <c r="G705">
        <v>-6386</v>
      </c>
      <c r="H705">
        <v>19.032699999999998</v>
      </c>
      <c r="I705">
        <v>121542.8222</v>
      </c>
      <c r="K705">
        <v>19.032699999999998</v>
      </c>
      <c r="L705">
        <v>121542.8222</v>
      </c>
      <c r="M705" t="s">
        <v>472</v>
      </c>
      <c r="N705" t="s">
        <v>471</v>
      </c>
    </row>
    <row r="706" spans="1:14" x14ac:dyDescent="0.25">
      <c r="A706" s="18">
        <v>45959</v>
      </c>
      <c r="B706" t="s">
        <v>289</v>
      </c>
      <c r="C706" t="s">
        <v>628</v>
      </c>
      <c r="D706" t="s">
        <v>104</v>
      </c>
      <c r="E706" t="s">
        <v>629</v>
      </c>
      <c r="F706" t="s">
        <v>21</v>
      </c>
      <c r="G706">
        <v>1175</v>
      </c>
      <c r="H706">
        <v>1701.36</v>
      </c>
      <c r="I706">
        <v>-1999097.9999999998</v>
      </c>
      <c r="K706">
        <v>1701.36</v>
      </c>
      <c r="L706">
        <v>-1999097.9999999998</v>
      </c>
      <c r="M706" t="s">
        <v>104</v>
      </c>
      <c r="N706" t="s">
        <v>628</v>
      </c>
    </row>
    <row r="707" spans="1:14" x14ac:dyDescent="0.25">
      <c r="A707" s="18">
        <v>45959</v>
      </c>
      <c r="B707" t="s">
        <v>289</v>
      </c>
      <c r="C707" t="s">
        <v>392</v>
      </c>
      <c r="D707" t="s">
        <v>393</v>
      </c>
      <c r="E707" t="s">
        <v>494</v>
      </c>
      <c r="F707" t="s">
        <v>157</v>
      </c>
      <c r="G707">
        <v>3577</v>
      </c>
      <c r="H707">
        <v>104.4618</v>
      </c>
      <c r="I707">
        <v>-373659.85859999998</v>
      </c>
      <c r="K707">
        <v>104.4618</v>
      </c>
      <c r="L707">
        <v>-373659.85859999998</v>
      </c>
      <c r="M707" t="s">
        <v>393</v>
      </c>
      <c r="N707" t="s">
        <v>392</v>
      </c>
    </row>
    <row r="708" spans="1:14" x14ac:dyDescent="0.25">
      <c r="A708" s="18">
        <v>45959</v>
      </c>
      <c r="B708" t="s">
        <v>289</v>
      </c>
      <c r="C708" t="s">
        <v>331</v>
      </c>
      <c r="D708" t="s">
        <v>332</v>
      </c>
      <c r="E708" t="s">
        <v>333</v>
      </c>
      <c r="F708" t="s">
        <v>21</v>
      </c>
      <c r="G708">
        <v>46</v>
      </c>
      <c r="H708">
        <v>1524.1434999999999</v>
      </c>
      <c r="I708">
        <v>-70110.600999999995</v>
      </c>
      <c r="K708">
        <v>1524.1434999999999</v>
      </c>
      <c r="L708">
        <v>-70110.600999999995</v>
      </c>
      <c r="M708" t="s">
        <v>332</v>
      </c>
      <c r="N708" t="s">
        <v>331</v>
      </c>
    </row>
    <row r="709" spans="1:14" x14ac:dyDescent="0.25">
      <c r="A709" s="18">
        <v>45960</v>
      </c>
      <c r="B709" t="s">
        <v>289</v>
      </c>
      <c r="C709" t="s">
        <v>290</v>
      </c>
      <c r="D709" t="s">
        <v>45</v>
      </c>
      <c r="E709" t="s">
        <v>46</v>
      </c>
      <c r="F709" t="s">
        <v>21</v>
      </c>
      <c r="G709">
        <v>1106</v>
      </c>
      <c r="H709">
        <v>45.3</v>
      </c>
      <c r="I709">
        <v>-50101.799999999996</v>
      </c>
      <c r="K709">
        <v>45.3</v>
      </c>
      <c r="L709">
        <v>-50101.799999999996</v>
      </c>
      <c r="M709" t="s">
        <v>45</v>
      </c>
      <c r="N709" t="s">
        <v>290</v>
      </c>
    </row>
    <row r="710" spans="1:14" x14ac:dyDescent="0.25">
      <c r="A710" s="18">
        <v>45960</v>
      </c>
      <c r="B710" t="s">
        <v>289</v>
      </c>
      <c r="C710" t="s">
        <v>493</v>
      </c>
      <c r="D710" t="s">
        <v>28</v>
      </c>
      <c r="E710" t="s">
        <v>29</v>
      </c>
      <c r="F710" t="s">
        <v>21</v>
      </c>
      <c r="G710">
        <v>200</v>
      </c>
      <c r="H710">
        <v>249.55</v>
      </c>
      <c r="I710">
        <v>-49910</v>
      </c>
      <c r="K710">
        <v>249.55</v>
      </c>
      <c r="L710">
        <v>-49910</v>
      </c>
      <c r="M710" t="s">
        <v>28</v>
      </c>
      <c r="N710" t="s">
        <v>493</v>
      </c>
    </row>
    <row r="711" spans="1:14" x14ac:dyDescent="0.25">
      <c r="A711" s="18">
        <v>45960</v>
      </c>
      <c r="B711" t="s">
        <v>289</v>
      </c>
      <c r="C711" t="s">
        <v>493</v>
      </c>
      <c r="D711" t="s">
        <v>28</v>
      </c>
      <c r="E711" t="s">
        <v>29</v>
      </c>
      <c r="F711" t="s">
        <v>21</v>
      </c>
      <c r="G711">
        <v>203</v>
      </c>
      <c r="H711">
        <v>246.72499999999999</v>
      </c>
      <c r="I711">
        <v>-50085.174999999996</v>
      </c>
      <c r="K711">
        <v>246.72499999999997</v>
      </c>
      <c r="L711">
        <v>-50085.174999999996</v>
      </c>
      <c r="M711" t="s">
        <v>28</v>
      </c>
      <c r="N711" t="s">
        <v>493</v>
      </c>
    </row>
    <row r="712" spans="1:14" x14ac:dyDescent="0.25">
      <c r="A712" s="18">
        <v>45960</v>
      </c>
      <c r="B712" t="s">
        <v>289</v>
      </c>
      <c r="C712" t="s">
        <v>596</v>
      </c>
      <c r="D712" t="s">
        <v>597</v>
      </c>
      <c r="E712" t="s">
        <v>598</v>
      </c>
      <c r="F712" t="s">
        <v>21</v>
      </c>
      <c r="G712">
        <v>569</v>
      </c>
      <c r="H712">
        <v>87.48</v>
      </c>
      <c r="I712">
        <v>-49776.12</v>
      </c>
      <c r="K712">
        <v>87.48</v>
      </c>
      <c r="L712">
        <v>-49776.12</v>
      </c>
      <c r="M712" t="s">
        <v>597</v>
      </c>
      <c r="N712" t="s">
        <v>596</v>
      </c>
    </row>
    <row r="713" spans="1:14" x14ac:dyDescent="0.25">
      <c r="A713" s="18">
        <v>45960</v>
      </c>
      <c r="B713" t="s">
        <v>289</v>
      </c>
      <c r="C713" t="s">
        <v>596</v>
      </c>
      <c r="D713" t="s">
        <v>597</v>
      </c>
      <c r="E713" t="s">
        <v>598</v>
      </c>
      <c r="F713" t="s">
        <v>21</v>
      </c>
      <c r="G713">
        <v>574</v>
      </c>
      <c r="H713">
        <v>86.88</v>
      </c>
      <c r="I713">
        <v>-49869.119999999995</v>
      </c>
      <c r="K713">
        <v>86.88</v>
      </c>
      <c r="L713">
        <v>-49869.119999999995</v>
      </c>
      <c r="M713" t="s">
        <v>597</v>
      </c>
      <c r="N713" t="s">
        <v>596</v>
      </c>
    </row>
    <row r="714" spans="1:14" x14ac:dyDescent="0.25">
      <c r="A714" s="18">
        <v>45960</v>
      </c>
      <c r="B714" t="s">
        <v>289</v>
      </c>
      <c r="C714" t="s">
        <v>596</v>
      </c>
      <c r="D714" t="s">
        <v>597</v>
      </c>
      <c r="E714" t="s">
        <v>598</v>
      </c>
      <c r="F714" t="s">
        <v>21</v>
      </c>
      <c r="G714">
        <v>574</v>
      </c>
      <c r="H714">
        <v>87.58</v>
      </c>
      <c r="I714">
        <v>-50270.92</v>
      </c>
      <c r="K714">
        <v>87.58</v>
      </c>
      <c r="L714">
        <v>-50270.92</v>
      </c>
      <c r="M714" t="s">
        <v>597</v>
      </c>
      <c r="N714" t="s">
        <v>596</v>
      </c>
    </row>
    <row r="715" spans="1:14" x14ac:dyDescent="0.25">
      <c r="A715" s="18">
        <v>45960</v>
      </c>
      <c r="B715" t="s">
        <v>289</v>
      </c>
      <c r="C715" t="s">
        <v>486</v>
      </c>
      <c r="D715" t="s">
        <v>487</v>
      </c>
      <c r="E715" t="s">
        <v>488</v>
      </c>
      <c r="F715" t="s">
        <v>49</v>
      </c>
      <c r="G715">
        <v>110</v>
      </c>
      <c r="H715">
        <v>525.89</v>
      </c>
      <c r="I715">
        <v>-57847.9</v>
      </c>
      <c r="K715">
        <v>525.89</v>
      </c>
      <c r="L715">
        <v>-57847.9</v>
      </c>
      <c r="M715" t="s">
        <v>487</v>
      </c>
      <c r="N715" t="s">
        <v>486</v>
      </c>
    </row>
    <row r="716" spans="1:14" x14ac:dyDescent="0.25">
      <c r="A716" s="18">
        <v>45960</v>
      </c>
      <c r="B716" t="s">
        <v>319</v>
      </c>
      <c r="C716" t="s">
        <v>358</v>
      </c>
      <c r="D716" t="s">
        <v>359</v>
      </c>
      <c r="E716" t="s">
        <v>360</v>
      </c>
      <c r="F716" t="s">
        <v>21</v>
      </c>
      <c r="G716">
        <v>-3981</v>
      </c>
      <c r="H716">
        <v>18.842300000000002</v>
      </c>
      <c r="I716">
        <v>75011.196300000011</v>
      </c>
      <c r="K716">
        <v>18.842300000000002</v>
      </c>
      <c r="L716">
        <v>75011.196300000011</v>
      </c>
      <c r="M716" t="s">
        <v>359</v>
      </c>
      <c r="N716" t="s">
        <v>358</v>
      </c>
    </row>
    <row r="717" spans="1:14" x14ac:dyDescent="0.25">
      <c r="A717" s="18">
        <v>45960</v>
      </c>
      <c r="B717" t="s">
        <v>319</v>
      </c>
      <c r="C717" t="s">
        <v>608</v>
      </c>
      <c r="D717" t="s">
        <v>26</v>
      </c>
      <c r="E717" t="s">
        <v>27</v>
      </c>
      <c r="F717" t="s">
        <v>21</v>
      </c>
      <c r="G717">
        <v>-316</v>
      </c>
      <c r="H717">
        <v>316.3263</v>
      </c>
      <c r="I717">
        <v>99959.110799999995</v>
      </c>
      <c r="K717">
        <v>316.3263</v>
      </c>
      <c r="L717">
        <v>99959.110799999995</v>
      </c>
      <c r="M717" t="s">
        <v>26</v>
      </c>
      <c r="N717" t="s">
        <v>608</v>
      </c>
    </row>
    <row r="718" spans="1:14" x14ac:dyDescent="0.25">
      <c r="A718" s="18">
        <v>45960</v>
      </c>
      <c r="B718" t="s">
        <v>319</v>
      </c>
      <c r="C718" t="s">
        <v>404</v>
      </c>
      <c r="D718" t="s">
        <v>405</v>
      </c>
      <c r="E718" t="s">
        <v>261</v>
      </c>
      <c r="F718" t="s">
        <v>21</v>
      </c>
      <c r="G718">
        <v>-2996</v>
      </c>
      <c r="H718">
        <v>33.346800000000002</v>
      </c>
      <c r="I718">
        <v>99907.012800000011</v>
      </c>
      <c r="K718">
        <v>33.346800000000002</v>
      </c>
      <c r="L718">
        <v>99907.012800000011</v>
      </c>
      <c r="M718" t="s">
        <v>405</v>
      </c>
      <c r="N718" t="s">
        <v>404</v>
      </c>
    </row>
    <row r="719" spans="1:14" x14ac:dyDescent="0.25">
      <c r="A719" s="18">
        <v>45960</v>
      </c>
      <c r="B719" t="s">
        <v>319</v>
      </c>
      <c r="C719" t="s">
        <v>563</v>
      </c>
      <c r="D719" t="s">
        <v>564</v>
      </c>
      <c r="E719" t="s">
        <v>565</v>
      </c>
      <c r="F719" t="s">
        <v>21</v>
      </c>
      <c r="G719">
        <v>-2</v>
      </c>
      <c r="H719">
        <v>24156</v>
      </c>
      <c r="I719">
        <v>241560</v>
      </c>
      <c r="K719">
        <v>24156</v>
      </c>
      <c r="L719">
        <v>241560</v>
      </c>
      <c r="M719" t="s">
        <v>564</v>
      </c>
      <c r="N719" t="s">
        <v>563</v>
      </c>
    </row>
    <row r="720" spans="1:14" x14ac:dyDescent="0.25">
      <c r="A720" s="18">
        <v>45960</v>
      </c>
      <c r="B720" t="s">
        <v>289</v>
      </c>
      <c r="C720" t="s">
        <v>605</v>
      </c>
      <c r="D720" t="s">
        <v>606</v>
      </c>
      <c r="E720" t="s">
        <v>607</v>
      </c>
      <c r="F720" t="s">
        <v>21</v>
      </c>
      <c r="G720">
        <v>2</v>
      </c>
      <c r="H720">
        <v>8144</v>
      </c>
      <c r="I720">
        <v>-162880</v>
      </c>
      <c r="K720">
        <v>8144</v>
      </c>
      <c r="L720">
        <v>-162880</v>
      </c>
      <c r="M720" t="s">
        <v>606</v>
      </c>
      <c r="N720" t="s">
        <v>605</v>
      </c>
    </row>
    <row r="721" spans="1:14" x14ac:dyDescent="0.25">
      <c r="A721" s="18">
        <v>45960</v>
      </c>
      <c r="B721" t="s">
        <v>289</v>
      </c>
      <c r="C721" t="s">
        <v>435</v>
      </c>
      <c r="D721" t="s">
        <v>99</v>
      </c>
      <c r="E721" t="s">
        <v>100</v>
      </c>
      <c r="F721" t="s">
        <v>21</v>
      </c>
      <c r="G721">
        <v>11513</v>
      </c>
      <c r="H721">
        <v>8.6669999999999998</v>
      </c>
      <c r="I721">
        <v>-99783.171000000002</v>
      </c>
      <c r="K721">
        <v>8.6669999999999998</v>
      </c>
      <c r="L721">
        <v>-99783.171000000002</v>
      </c>
      <c r="M721" t="s">
        <v>99</v>
      </c>
      <c r="N721" t="s">
        <v>435</v>
      </c>
    </row>
    <row r="722" spans="1:14" x14ac:dyDescent="0.25">
      <c r="A722" s="18">
        <v>45960</v>
      </c>
      <c r="B722" t="s">
        <v>289</v>
      </c>
      <c r="C722" t="s">
        <v>435</v>
      </c>
      <c r="D722" t="s">
        <v>99</v>
      </c>
      <c r="E722" t="s">
        <v>100</v>
      </c>
      <c r="F722" t="s">
        <v>21</v>
      </c>
      <c r="G722">
        <v>5750</v>
      </c>
      <c r="H722">
        <v>8.6590000000000007</v>
      </c>
      <c r="I722">
        <v>-49789.250000000007</v>
      </c>
      <c r="K722">
        <v>8.6590000000000007</v>
      </c>
      <c r="L722">
        <v>-49789.250000000007</v>
      </c>
      <c r="M722" t="s">
        <v>99</v>
      </c>
      <c r="N722" t="s">
        <v>435</v>
      </c>
    </row>
    <row r="723" spans="1:14" x14ac:dyDescent="0.25">
      <c r="A723" s="18">
        <v>45960</v>
      </c>
      <c r="B723" t="s">
        <v>289</v>
      </c>
      <c r="C723" t="s">
        <v>331</v>
      </c>
      <c r="D723" t="s">
        <v>332</v>
      </c>
      <c r="E723" t="s">
        <v>333</v>
      </c>
      <c r="F723" t="s">
        <v>21</v>
      </c>
      <c r="G723">
        <v>20</v>
      </c>
      <c r="H723">
        <v>1487.87</v>
      </c>
      <c r="I723">
        <v>-29757.399999999998</v>
      </c>
      <c r="K723">
        <v>1487.87</v>
      </c>
      <c r="L723">
        <v>-29757.399999999998</v>
      </c>
      <c r="M723" t="s">
        <v>332</v>
      </c>
      <c r="N723" t="s">
        <v>331</v>
      </c>
    </row>
    <row r="724" spans="1:14" x14ac:dyDescent="0.25">
      <c r="A724" s="18">
        <v>45961</v>
      </c>
      <c r="B724" t="s">
        <v>289</v>
      </c>
      <c r="C724" t="s">
        <v>320</v>
      </c>
      <c r="D724" t="s">
        <v>321</v>
      </c>
      <c r="E724" t="s">
        <v>322</v>
      </c>
      <c r="F724" t="s">
        <v>36</v>
      </c>
      <c r="G724">
        <v>3575</v>
      </c>
      <c r="H724">
        <v>12.499499999999999</v>
      </c>
      <c r="I724">
        <v>-44685.712499999994</v>
      </c>
      <c r="K724">
        <v>12.499499999999998</v>
      </c>
      <c r="L724">
        <v>-44685.712499999994</v>
      </c>
      <c r="M724" t="s">
        <v>321</v>
      </c>
      <c r="N724" t="s">
        <v>320</v>
      </c>
    </row>
    <row r="725" spans="1:14" x14ac:dyDescent="0.25">
      <c r="A725" s="18">
        <v>45961</v>
      </c>
      <c r="B725" t="s">
        <v>319</v>
      </c>
      <c r="C725" t="s">
        <v>625</v>
      </c>
      <c r="D725" t="s">
        <v>626</v>
      </c>
      <c r="E725" t="s">
        <v>627</v>
      </c>
      <c r="F725" t="s">
        <v>21</v>
      </c>
      <c r="G725">
        <v>-995</v>
      </c>
      <c r="H725">
        <v>105.8194</v>
      </c>
      <c r="I725">
        <v>105290.303</v>
      </c>
      <c r="K725">
        <v>105.8194</v>
      </c>
      <c r="L725">
        <v>105290.303</v>
      </c>
      <c r="M725" t="s">
        <v>626</v>
      </c>
      <c r="N725" t="s">
        <v>625</v>
      </c>
    </row>
    <row r="726" spans="1:14" x14ac:dyDescent="0.25">
      <c r="A726" s="18">
        <v>45961</v>
      </c>
      <c r="B726" t="s">
        <v>289</v>
      </c>
      <c r="C726" t="s">
        <v>290</v>
      </c>
      <c r="D726" t="s">
        <v>45</v>
      </c>
      <c r="E726" t="s">
        <v>46</v>
      </c>
      <c r="F726" t="s">
        <v>21</v>
      </c>
      <c r="G726">
        <v>1161</v>
      </c>
      <c r="H726">
        <v>43.434399999999997</v>
      </c>
      <c r="I726">
        <v>-50427.338399999993</v>
      </c>
      <c r="K726">
        <v>43.434399999999997</v>
      </c>
      <c r="L726">
        <v>-50427.338399999993</v>
      </c>
      <c r="M726" t="s">
        <v>45</v>
      </c>
      <c r="N726" t="s">
        <v>290</v>
      </c>
    </row>
    <row r="727" spans="1:14" x14ac:dyDescent="0.25">
      <c r="A727" s="18">
        <v>45961</v>
      </c>
      <c r="B727" t="s">
        <v>289</v>
      </c>
      <c r="C727" t="s">
        <v>290</v>
      </c>
      <c r="D727" t="s">
        <v>45</v>
      </c>
      <c r="E727" t="s">
        <v>46</v>
      </c>
      <c r="F727" t="s">
        <v>21</v>
      </c>
      <c r="G727">
        <v>2296</v>
      </c>
      <c r="H727">
        <v>43.397399999999998</v>
      </c>
      <c r="I727">
        <v>-99640.430399999997</v>
      </c>
      <c r="K727">
        <v>43.397399999999998</v>
      </c>
      <c r="L727">
        <v>-99640.430399999997</v>
      </c>
      <c r="M727" t="s">
        <v>45</v>
      </c>
      <c r="N727" t="s">
        <v>290</v>
      </c>
    </row>
    <row r="728" spans="1:14" x14ac:dyDescent="0.25">
      <c r="A728" s="18">
        <v>45961</v>
      </c>
      <c r="B728" t="s">
        <v>289</v>
      </c>
      <c r="C728" t="s">
        <v>290</v>
      </c>
      <c r="D728" t="s">
        <v>45</v>
      </c>
      <c r="E728" t="s">
        <v>46</v>
      </c>
      <c r="F728" t="s">
        <v>21</v>
      </c>
      <c r="G728">
        <v>2262</v>
      </c>
      <c r="H728">
        <v>44.281199999999998</v>
      </c>
      <c r="I728">
        <v>-100164.0744</v>
      </c>
      <c r="K728">
        <v>44.281199999999998</v>
      </c>
      <c r="L728">
        <v>-100164.0744</v>
      </c>
      <c r="M728" t="s">
        <v>45</v>
      </c>
      <c r="N728" t="s">
        <v>290</v>
      </c>
    </row>
    <row r="729" spans="1:14" x14ac:dyDescent="0.25">
      <c r="A729" s="18">
        <v>45964</v>
      </c>
      <c r="B729" t="s">
        <v>289</v>
      </c>
      <c r="C729" t="s">
        <v>290</v>
      </c>
      <c r="D729" t="s">
        <v>45</v>
      </c>
      <c r="E729" t="s">
        <v>46</v>
      </c>
      <c r="F729" t="s">
        <v>21</v>
      </c>
      <c r="G729">
        <v>1138</v>
      </c>
      <c r="H729">
        <v>43.996000000000002</v>
      </c>
      <c r="I729">
        <v>-50067.448000000004</v>
      </c>
      <c r="K729">
        <v>43.996000000000002</v>
      </c>
      <c r="L729">
        <v>-50067.448000000004</v>
      </c>
      <c r="M729" t="s">
        <v>45</v>
      </c>
      <c r="N729" t="s">
        <v>290</v>
      </c>
    </row>
    <row r="730" spans="1:14" x14ac:dyDescent="0.25">
      <c r="A730" s="18">
        <v>45964</v>
      </c>
      <c r="B730" t="s">
        <v>289</v>
      </c>
      <c r="C730" t="s">
        <v>314</v>
      </c>
      <c r="D730" t="s">
        <v>315</v>
      </c>
      <c r="E730" t="s">
        <v>362</v>
      </c>
      <c r="F730" t="s">
        <v>21</v>
      </c>
      <c r="G730">
        <v>1944</v>
      </c>
      <c r="H730">
        <v>25.889199999999999</v>
      </c>
      <c r="I730">
        <v>-50328.604800000001</v>
      </c>
      <c r="K730">
        <v>25.889199999999999</v>
      </c>
      <c r="L730">
        <v>-50328.604800000001</v>
      </c>
      <c r="M730" t="s">
        <v>315</v>
      </c>
      <c r="N730" t="s">
        <v>314</v>
      </c>
    </row>
    <row r="731" spans="1:14" x14ac:dyDescent="0.25">
      <c r="A731" s="18">
        <v>45964</v>
      </c>
      <c r="B731" t="s">
        <v>289</v>
      </c>
      <c r="C731" t="s">
        <v>596</v>
      </c>
      <c r="D731" t="s">
        <v>597</v>
      </c>
      <c r="E731" t="s">
        <v>598</v>
      </c>
      <c r="F731" t="s">
        <v>21</v>
      </c>
      <c r="G731">
        <v>680</v>
      </c>
      <c r="H731">
        <v>88.610399999999998</v>
      </c>
      <c r="I731">
        <v>-60255.072</v>
      </c>
      <c r="K731">
        <v>88.610399999999998</v>
      </c>
      <c r="L731">
        <v>-60255.072</v>
      </c>
      <c r="M731" t="s">
        <v>597</v>
      </c>
      <c r="N731" t="s">
        <v>596</v>
      </c>
    </row>
    <row r="732" spans="1:14" x14ac:dyDescent="0.25">
      <c r="A732" s="18">
        <v>45964</v>
      </c>
      <c r="B732" t="s">
        <v>289</v>
      </c>
      <c r="C732" t="s">
        <v>596</v>
      </c>
      <c r="D732" t="s">
        <v>597</v>
      </c>
      <c r="E732" t="s">
        <v>598</v>
      </c>
      <c r="F732" t="s">
        <v>21</v>
      </c>
      <c r="G732">
        <v>560</v>
      </c>
      <c r="H732">
        <v>89.02</v>
      </c>
      <c r="I732">
        <v>-49851.199999999997</v>
      </c>
      <c r="K732">
        <v>89.02</v>
      </c>
      <c r="L732">
        <v>-49851.199999999997</v>
      </c>
      <c r="M732" t="s">
        <v>597</v>
      </c>
      <c r="N732" t="s">
        <v>596</v>
      </c>
    </row>
    <row r="733" spans="1:14" x14ac:dyDescent="0.25">
      <c r="A733" s="18">
        <v>45964</v>
      </c>
      <c r="B733" t="s">
        <v>289</v>
      </c>
      <c r="C733" t="s">
        <v>482</v>
      </c>
      <c r="D733" t="s">
        <v>483</v>
      </c>
      <c r="E733" t="s">
        <v>269</v>
      </c>
      <c r="F733" t="s">
        <v>49</v>
      </c>
      <c r="G733">
        <v>548</v>
      </c>
      <c r="H733">
        <v>105.0934</v>
      </c>
      <c r="I733">
        <v>-57591.183199999999</v>
      </c>
      <c r="K733">
        <v>105.0934</v>
      </c>
      <c r="L733">
        <v>-57591.183199999999</v>
      </c>
      <c r="M733" t="s">
        <v>483</v>
      </c>
      <c r="N733" t="s">
        <v>482</v>
      </c>
    </row>
    <row r="734" spans="1:14" x14ac:dyDescent="0.25">
      <c r="A734" s="18">
        <v>45964</v>
      </c>
      <c r="B734" t="s">
        <v>289</v>
      </c>
      <c r="C734" t="s">
        <v>331</v>
      </c>
      <c r="D734" t="s">
        <v>332</v>
      </c>
      <c r="E734" t="s">
        <v>333</v>
      </c>
      <c r="F734" t="s">
        <v>21</v>
      </c>
      <c r="G734">
        <v>34</v>
      </c>
      <c r="H734">
        <v>1457.7175999999999</v>
      </c>
      <c r="I734">
        <v>-49562.398399999998</v>
      </c>
      <c r="K734">
        <v>1457.7175999999999</v>
      </c>
      <c r="L734">
        <v>-49562.398399999998</v>
      </c>
      <c r="M734" t="s">
        <v>332</v>
      </c>
      <c r="N734" t="s">
        <v>331</v>
      </c>
    </row>
    <row r="735" spans="1:14" x14ac:dyDescent="0.25">
      <c r="A735" s="18">
        <v>45965</v>
      </c>
      <c r="B735" t="s">
        <v>289</v>
      </c>
      <c r="C735" t="s">
        <v>630</v>
      </c>
      <c r="D735" t="s">
        <v>631</v>
      </c>
      <c r="E735" t="s">
        <v>632</v>
      </c>
      <c r="F735" t="s">
        <v>21</v>
      </c>
      <c r="G735">
        <v>49670</v>
      </c>
      <c r="H735">
        <v>3.0341</v>
      </c>
      <c r="I735">
        <v>-150703.747</v>
      </c>
      <c r="K735">
        <v>3.0341</v>
      </c>
      <c r="L735">
        <v>-150703.747</v>
      </c>
      <c r="M735" t="s">
        <v>631</v>
      </c>
      <c r="N735" t="s">
        <v>630</v>
      </c>
    </row>
    <row r="736" spans="1:14" x14ac:dyDescent="0.25">
      <c r="A736" s="18">
        <v>45965</v>
      </c>
      <c r="B736" t="s">
        <v>289</v>
      </c>
      <c r="C736" t="s">
        <v>421</v>
      </c>
      <c r="D736" t="s">
        <v>422</v>
      </c>
      <c r="E736" t="s">
        <v>423</v>
      </c>
      <c r="F736" t="s">
        <v>49</v>
      </c>
      <c r="G736">
        <v>617</v>
      </c>
      <c r="H736">
        <v>93.187600000000003</v>
      </c>
      <c r="I736">
        <v>-57496.749200000006</v>
      </c>
      <c r="K736">
        <v>93.187600000000003</v>
      </c>
      <c r="L736">
        <v>-57496.749200000006</v>
      </c>
      <c r="M736" t="s">
        <v>422</v>
      </c>
      <c r="N736" t="s">
        <v>421</v>
      </c>
    </row>
    <row r="737" spans="1:14" x14ac:dyDescent="0.25">
      <c r="A737" s="18">
        <v>45965</v>
      </c>
      <c r="B737" t="s">
        <v>319</v>
      </c>
      <c r="C737" t="s">
        <v>575</v>
      </c>
      <c r="D737" t="s">
        <v>576</v>
      </c>
      <c r="E737" t="s">
        <v>577</v>
      </c>
      <c r="F737" t="s">
        <v>21</v>
      </c>
      <c r="G737">
        <v>-22</v>
      </c>
      <c r="H737">
        <v>22274.48</v>
      </c>
      <c r="I737">
        <v>490038.56</v>
      </c>
      <c r="K737">
        <v>22274.48</v>
      </c>
      <c r="L737">
        <v>490038.56</v>
      </c>
      <c r="M737" t="s">
        <v>576</v>
      </c>
      <c r="N737" t="s">
        <v>575</v>
      </c>
    </row>
    <row r="738" spans="1:14" x14ac:dyDescent="0.25">
      <c r="A738" s="18">
        <v>45965</v>
      </c>
      <c r="B738" t="s">
        <v>289</v>
      </c>
      <c r="C738" t="s">
        <v>633</v>
      </c>
      <c r="D738" t="s">
        <v>634</v>
      </c>
      <c r="E738" t="s">
        <v>281</v>
      </c>
      <c r="F738" t="s">
        <v>21</v>
      </c>
      <c r="G738">
        <v>3829</v>
      </c>
      <c r="H738">
        <v>39.203000000000003</v>
      </c>
      <c r="I738">
        <v>-150108.28700000001</v>
      </c>
      <c r="K738">
        <v>39.203000000000003</v>
      </c>
      <c r="L738">
        <v>-150108.28700000001</v>
      </c>
      <c r="M738" t="s">
        <v>634</v>
      </c>
      <c r="N738" t="s">
        <v>633</v>
      </c>
    </row>
    <row r="739" spans="1:14" x14ac:dyDescent="0.25">
      <c r="A739" s="18">
        <v>45965</v>
      </c>
      <c r="B739" t="s">
        <v>289</v>
      </c>
      <c r="C739" t="s">
        <v>435</v>
      </c>
      <c r="D739" t="s">
        <v>99</v>
      </c>
      <c r="E739" t="s">
        <v>100</v>
      </c>
      <c r="F739" t="s">
        <v>21</v>
      </c>
      <c r="G739">
        <v>5750</v>
      </c>
      <c r="H739">
        <v>8.7052999999999994</v>
      </c>
      <c r="I739">
        <v>-50055.474999999999</v>
      </c>
      <c r="K739">
        <v>8.7052999999999994</v>
      </c>
      <c r="L739">
        <v>-50055.474999999999</v>
      </c>
      <c r="M739" t="s">
        <v>99</v>
      </c>
      <c r="N739" t="s">
        <v>435</v>
      </c>
    </row>
    <row r="740" spans="1:14" x14ac:dyDescent="0.25">
      <c r="A740" s="18">
        <v>45965</v>
      </c>
      <c r="B740" t="s">
        <v>289</v>
      </c>
      <c r="C740" t="s">
        <v>392</v>
      </c>
      <c r="D740" t="s">
        <v>393</v>
      </c>
      <c r="E740" t="s">
        <v>494</v>
      </c>
      <c r="F740" t="s">
        <v>157</v>
      </c>
      <c r="G740">
        <v>3772</v>
      </c>
      <c r="H740">
        <v>97.676900000000003</v>
      </c>
      <c r="I740">
        <v>-368437.26680000004</v>
      </c>
      <c r="K740">
        <v>97.676900000000018</v>
      </c>
      <c r="L740">
        <v>-368437.26680000004</v>
      </c>
      <c r="M740" t="s">
        <v>393</v>
      </c>
      <c r="N740" t="s">
        <v>392</v>
      </c>
    </row>
    <row r="741" spans="1:14" x14ac:dyDescent="0.25">
      <c r="A741" s="18">
        <v>45966</v>
      </c>
      <c r="B741" t="s">
        <v>289</v>
      </c>
      <c r="C741" t="s">
        <v>320</v>
      </c>
      <c r="D741" t="s">
        <v>321</v>
      </c>
      <c r="E741" t="s">
        <v>322</v>
      </c>
      <c r="F741" t="s">
        <v>36</v>
      </c>
      <c r="G741">
        <v>3600</v>
      </c>
      <c r="H741">
        <v>12.103300000000001</v>
      </c>
      <c r="I741">
        <v>-43571.880000000005</v>
      </c>
      <c r="K741">
        <v>12.103300000000001</v>
      </c>
      <c r="L741">
        <v>-43571.880000000005</v>
      </c>
      <c r="M741" t="s">
        <v>321</v>
      </c>
      <c r="N741" t="s">
        <v>320</v>
      </c>
    </row>
    <row r="742" spans="1:14" x14ac:dyDescent="0.25">
      <c r="A742" s="18">
        <v>45966</v>
      </c>
      <c r="B742" t="s">
        <v>289</v>
      </c>
      <c r="C742" t="s">
        <v>484</v>
      </c>
      <c r="D742" t="s">
        <v>30</v>
      </c>
      <c r="E742" t="s">
        <v>31</v>
      </c>
      <c r="F742" t="s">
        <v>21</v>
      </c>
      <c r="G742">
        <v>340</v>
      </c>
      <c r="H742">
        <v>148.0429</v>
      </c>
      <c r="I742">
        <v>-50334.586000000003</v>
      </c>
      <c r="K742">
        <v>148.0429</v>
      </c>
      <c r="L742">
        <v>-50334.586000000003</v>
      </c>
      <c r="M742" t="s">
        <v>30</v>
      </c>
      <c r="N742" t="s">
        <v>484</v>
      </c>
    </row>
    <row r="743" spans="1:14" x14ac:dyDescent="0.25">
      <c r="A743" s="18">
        <v>45966</v>
      </c>
      <c r="B743" t="s">
        <v>319</v>
      </c>
      <c r="C743" t="s">
        <v>482</v>
      </c>
      <c r="D743" t="s">
        <v>483</v>
      </c>
      <c r="E743" t="s">
        <v>269</v>
      </c>
      <c r="F743" t="s">
        <v>49</v>
      </c>
      <c r="G743">
        <v>-1620</v>
      </c>
      <c r="H743">
        <v>106.37309999999999</v>
      </c>
      <c r="I743">
        <v>172324.42199999999</v>
      </c>
      <c r="K743">
        <v>106.37309999999999</v>
      </c>
      <c r="L743">
        <v>172324.42199999999</v>
      </c>
      <c r="M743" t="s">
        <v>483</v>
      </c>
      <c r="N743" t="s">
        <v>482</v>
      </c>
    </row>
    <row r="744" spans="1:14" x14ac:dyDescent="0.25">
      <c r="A744" s="18">
        <v>45966</v>
      </c>
      <c r="B744" t="s">
        <v>289</v>
      </c>
      <c r="C744" t="s">
        <v>489</v>
      </c>
      <c r="D744" t="s">
        <v>66</v>
      </c>
      <c r="E744" t="s">
        <v>67</v>
      </c>
      <c r="F744" t="s">
        <v>49</v>
      </c>
      <c r="G744">
        <v>25</v>
      </c>
      <c r="H744">
        <v>2261.7667999999999</v>
      </c>
      <c r="I744">
        <v>-56544.17</v>
      </c>
      <c r="K744">
        <v>2261.7667999999999</v>
      </c>
      <c r="L744">
        <v>-56544.17</v>
      </c>
      <c r="M744" t="s">
        <v>66</v>
      </c>
      <c r="N744" t="s">
        <v>489</v>
      </c>
    </row>
    <row r="745" spans="1:14" x14ac:dyDescent="0.25">
      <c r="A745" s="18">
        <v>45966</v>
      </c>
      <c r="B745" t="s">
        <v>289</v>
      </c>
      <c r="C745" t="s">
        <v>358</v>
      </c>
      <c r="D745" t="s">
        <v>359</v>
      </c>
      <c r="E745" t="s">
        <v>360</v>
      </c>
      <c r="F745" t="s">
        <v>21</v>
      </c>
      <c r="G745">
        <v>4287</v>
      </c>
      <c r="H745">
        <v>18.7728</v>
      </c>
      <c r="I745">
        <v>-80478.993600000002</v>
      </c>
      <c r="K745">
        <v>18.7728</v>
      </c>
      <c r="L745">
        <v>-80478.993600000002</v>
      </c>
      <c r="M745" t="s">
        <v>359</v>
      </c>
      <c r="N745" t="s">
        <v>358</v>
      </c>
    </row>
    <row r="746" spans="1:14" x14ac:dyDescent="0.25">
      <c r="A746" s="18">
        <v>45966</v>
      </c>
      <c r="B746" t="s">
        <v>289</v>
      </c>
      <c r="C746" t="s">
        <v>633</v>
      </c>
      <c r="D746" t="s">
        <v>634</v>
      </c>
      <c r="E746" t="s">
        <v>281</v>
      </c>
      <c r="F746" t="s">
        <v>21</v>
      </c>
      <c r="G746">
        <v>1261</v>
      </c>
      <c r="H746">
        <v>39.759900000000002</v>
      </c>
      <c r="I746">
        <v>-50137.233899999999</v>
      </c>
      <c r="K746">
        <v>39.759900000000002</v>
      </c>
      <c r="L746">
        <v>-50137.233899999999</v>
      </c>
      <c r="M746" t="s">
        <v>634</v>
      </c>
      <c r="N746" t="s">
        <v>633</v>
      </c>
    </row>
    <row r="747" spans="1:14" x14ac:dyDescent="0.25">
      <c r="A747" s="18">
        <v>45966</v>
      </c>
      <c r="B747" t="s">
        <v>319</v>
      </c>
      <c r="C747" t="s">
        <v>392</v>
      </c>
      <c r="D747" t="s">
        <v>393</v>
      </c>
      <c r="E747" t="s">
        <v>494</v>
      </c>
      <c r="F747" t="s">
        <v>157</v>
      </c>
      <c r="G747">
        <v>-4302</v>
      </c>
      <c r="H747">
        <v>84.772499999999994</v>
      </c>
      <c r="I747">
        <v>364691.29499999998</v>
      </c>
      <c r="K747">
        <v>84.772499999999994</v>
      </c>
      <c r="L747">
        <v>364691.29499999998</v>
      </c>
      <c r="M747" t="s">
        <v>393</v>
      </c>
      <c r="N747" t="s">
        <v>392</v>
      </c>
    </row>
    <row r="748" spans="1:14" x14ac:dyDescent="0.25">
      <c r="A748" s="18">
        <v>45966</v>
      </c>
      <c r="B748" t="s">
        <v>319</v>
      </c>
      <c r="C748" t="s">
        <v>392</v>
      </c>
      <c r="D748" t="s">
        <v>393</v>
      </c>
      <c r="E748" t="s">
        <v>494</v>
      </c>
      <c r="F748" t="s">
        <v>157</v>
      </c>
      <c r="G748">
        <v>-8600</v>
      </c>
      <c r="H748">
        <v>86.9</v>
      </c>
      <c r="I748">
        <v>747340</v>
      </c>
      <c r="K748">
        <v>86.9</v>
      </c>
      <c r="L748">
        <v>747340</v>
      </c>
      <c r="M748" t="s">
        <v>393</v>
      </c>
      <c r="N748" t="s">
        <v>392</v>
      </c>
    </row>
    <row r="749" spans="1:14" x14ac:dyDescent="0.25">
      <c r="A749" s="18">
        <v>45966</v>
      </c>
      <c r="B749" t="s">
        <v>319</v>
      </c>
      <c r="C749" t="s">
        <v>392</v>
      </c>
      <c r="D749" t="s">
        <v>393</v>
      </c>
      <c r="E749" t="s">
        <v>494</v>
      </c>
      <c r="F749" t="s">
        <v>157</v>
      </c>
      <c r="G749">
        <v>-5301</v>
      </c>
      <c r="H749">
        <v>85.370800000000003</v>
      </c>
      <c r="I749">
        <v>452550.61080000002</v>
      </c>
      <c r="K749">
        <v>85.370800000000003</v>
      </c>
      <c r="L749">
        <v>452550.61080000002</v>
      </c>
      <c r="M749" t="s">
        <v>393</v>
      </c>
      <c r="N749" t="s">
        <v>392</v>
      </c>
    </row>
    <row r="750" spans="1:14" x14ac:dyDescent="0.25">
      <c r="A750" s="18">
        <v>45967</v>
      </c>
      <c r="B750" t="s">
        <v>289</v>
      </c>
      <c r="C750" t="s">
        <v>630</v>
      </c>
      <c r="D750" t="s">
        <v>631</v>
      </c>
      <c r="E750" t="s">
        <v>632</v>
      </c>
      <c r="F750" t="s">
        <v>21</v>
      </c>
      <c r="G750">
        <v>33330</v>
      </c>
      <c r="H750">
        <v>3.01</v>
      </c>
      <c r="I750">
        <v>-100323.29999999999</v>
      </c>
      <c r="K750">
        <v>3.01</v>
      </c>
      <c r="L750">
        <v>-100323.29999999999</v>
      </c>
      <c r="M750" t="s">
        <v>631</v>
      </c>
      <c r="N750" t="s">
        <v>630</v>
      </c>
    </row>
    <row r="751" spans="1:14" x14ac:dyDescent="0.25">
      <c r="A751" s="18">
        <v>45967</v>
      </c>
      <c r="B751" t="s">
        <v>289</v>
      </c>
      <c r="C751" t="s">
        <v>290</v>
      </c>
      <c r="D751" t="s">
        <v>45</v>
      </c>
      <c r="E751" t="s">
        <v>46</v>
      </c>
      <c r="F751" t="s">
        <v>21</v>
      </c>
      <c r="G751">
        <v>2336</v>
      </c>
      <c r="H751">
        <v>42.74</v>
      </c>
      <c r="I751">
        <v>-99840.639999999999</v>
      </c>
      <c r="K751">
        <v>42.74</v>
      </c>
      <c r="L751">
        <v>-99840.639999999999</v>
      </c>
      <c r="M751" t="s">
        <v>45</v>
      </c>
      <c r="N751" t="s">
        <v>290</v>
      </c>
    </row>
    <row r="752" spans="1:14" x14ac:dyDescent="0.25">
      <c r="A752" s="18">
        <v>45967</v>
      </c>
      <c r="B752" t="s">
        <v>289</v>
      </c>
      <c r="C752" t="s">
        <v>290</v>
      </c>
      <c r="D752" t="s">
        <v>45</v>
      </c>
      <c r="E752" t="s">
        <v>46</v>
      </c>
      <c r="F752" t="s">
        <v>21</v>
      </c>
      <c r="G752">
        <v>1191</v>
      </c>
      <c r="H752">
        <v>42.604100000000003</v>
      </c>
      <c r="I752">
        <v>-50741.483100000005</v>
      </c>
      <c r="K752">
        <v>42.604100000000003</v>
      </c>
      <c r="L752">
        <v>-50741.483100000005</v>
      </c>
      <c r="M752" t="s">
        <v>45</v>
      </c>
      <c r="N752" t="s">
        <v>290</v>
      </c>
    </row>
    <row r="753" spans="1:14" x14ac:dyDescent="0.25">
      <c r="A753" s="18">
        <v>45967</v>
      </c>
      <c r="B753" t="s">
        <v>289</v>
      </c>
      <c r="C753" t="s">
        <v>290</v>
      </c>
      <c r="D753" t="s">
        <v>45</v>
      </c>
      <c r="E753" t="s">
        <v>46</v>
      </c>
      <c r="F753" t="s">
        <v>21</v>
      </c>
      <c r="G753">
        <v>1183</v>
      </c>
      <c r="H753">
        <v>42.301400000000001</v>
      </c>
      <c r="I753">
        <v>-50042.556199999999</v>
      </c>
      <c r="K753">
        <v>42.301400000000001</v>
      </c>
      <c r="L753">
        <v>-50042.556199999999</v>
      </c>
      <c r="M753" t="s">
        <v>45</v>
      </c>
      <c r="N753" t="s">
        <v>290</v>
      </c>
    </row>
    <row r="754" spans="1:14" x14ac:dyDescent="0.25">
      <c r="A754" s="18">
        <v>45967</v>
      </c>
      <c r="B754" t="s">
        <v>319</v>
      </c>
      <c r="C754" t="s">
        <v>436</v>
      </c>
      <c r="D754" t="s">
        <v>437</v>
      </c>
      <c r="E754" t="s">
        <v>262</v>
      </c>
      <c r="F754" t="s">
        <v>21</v>
      </c>
      <c r="G754">
        <v>-3140</v>
      </c>
      <c r="H754">
        <v>31.813500000000001</v>
      </c>
      <c r="I754">
        <v>99894.39</v>
      </c>
      <c r="K754">
        <v>31.813500000000001</v>
      </c>
      <c r="L754">
        <v>99894.39</v>
      </c>
      <c r="M754" t="s">
        <v>437</v>
      </c>
      <c r="N754" t="s">
        <v>436</v>
      </c>
    </row>
    <row r="755" spans="1:14" x14ac:dyDescent="0.25">
      <c r="A755" s="18">
        <v>45967</v>
      </c>
      <c r="B755" t="s">
        <v>319</v>
      </c>
      <c r="C755" t="s">
        <v>328</v>
      </c>
      <c r="D755" t="s">
        <v>329</v>
      </c>
      <c r="E755" t="s">
        <v>330</v>
      </c>
      <c r="F755" t="s">
        <v>21</v>
      </c>
      <c r="G755">
        <v>-58</v>
      </c>
      <c r="H755">
        <v>1706</v>
      </c>
      <c r="I755">
        <v>98948</v>
      </c>
      <c r="K755">
        <v>1706</v>
      </c>
      <c r="L755">
        <v>98948</v>
      </c>
      <c r="M755" t="s">
        <v>329</v>
      </c>
      <c r="N755" t="s">
        <v>328</v>
      </c>
    </row>
    <row r="756" spans="1:14" x14ac:dyDescent="0.25">
      <c r="A756" s="18">
        <v>45967</v>
      </c>
      <c r="B756" t="s">
        <v>319</v>
      </c>
      <c r="C756" t="s">
        <v>328</v>
      </c>
      <c r="D756" t="s">
        <v>329</v>
      </c>
      <c r="E756" t="s">
        <v>330</v>
      </c>
      <c r="F756" t="s">
        <v>21</v>
      </c>
      <c r="G756">
        <v>-57</v>
      </c>
      <c r="H756">
        <v>1718.5</v>
      </c>
      <c r="I756">
        <v>97954.5</v>
      </c>
      <c r="K756">
        <v>1718.5</v>
      </c>
      <c r="L756">
        <v>97954.5</v>
      </c>
      <c r="M756" t="s">
        <v>329</v>
      </c>
      <c r="N756" t="s">
        <v>328</v>
      </c>
    </row>
    <row r="757" spans="1:14" x14ac:dyDescent="0.25">
      <c r="A757" s="18">
        <v>45967</v>
      </c>
      <c r="B757" t="s">
        <v>319</v>
      </c>
      <c r="C757" t="s">
        <v>596</v>
      </c>
      <c r="D757" t="s">
        <v>597</v>
      </c>
      <c r="E757" t="s">
        <v>598</v>
      </c>
      <c r="F757" t="s">
        <v>21</v>
      </c>
      <c r="G757">
        <v>-1154</v>
      </c>
      <c r="H757">
        <v>85.704499999999996</v>
      </c>
      <c r="I757">
        <v>98902.993000000002</v>
      </c>
      <c r="K757">
        <v>85.704499999999996</v>
      </c>
      <c r="L757">
        <v>98902.993000000002</v>
      </c>
      <c r="M757" t="s">
        <v>597</v>
      </c>
      <c r="N757" t="s">
        <v>596</v>
      </c>
    </row>
    <row r="758" spans="1:14" x14ac:dyDescent="0.25">
      <c r="A758" s="18">
        <v>45967</v>
      </c>
      <c r="B758" t="s">
        <v>319</v>
      </c>
      <c r="C758" t="s">
        <v>596</v>
      </c>
      <c r="D758" t="s">
        <v>597</v>
      </c>
      <c r="E758" t="s">
        <v>598</v>
      </c>
      <c r="F758" t="s">
        <v>21</v>
      </c>
      <c r="G758">
        <v>-1143</v>
      </c>
      <c r="H758">
        <v>85.530900000000003</v>
      </c>
      <c r="I758">
        <v>97761.818700000003</v>
      </c>
      <c r="K758">
        <v>85.530900000000003</v>
      </c>
      <c r="L758">
        <v>97761.818700000003</v>
      </c>
      <c r="M758" t="s">
        <v>597</v>
      </c>
      <c r="N758" t="s">
        <v>596</v>
      </c>
    </row>
    <row r="759" spans="1:14" x14ac:dyDescent="0.25">
      <c r="A759" s="18">
        <v>45967</v>
      </c>
      <c r="B759" t="s">
        <v>319</v>
      </c>
      <c r="C759" t="s">
        <v>596</v>
      </c>
      <c r="D759" t="s">
        <v>597</v>
      </c>
      <c r="E759" t="s">
        <v>598</v>
      </c>
      <c r="F759" t="s">
        <v>21</v>
      </c>
      <c r="G759">
        <v>-575</v>
      </c>
      <c r="H759">
        <v>86.829400000000007</v>
      </c>
      <c r="I759">
        <v>49926.905000000006</v>
      </c>
      <c r="K759">
        <v>86.829400000000007</v>
      </c>
      <c r="L759">
        <v>49926.905000000006</v>
      </c>
      <c r="M759" t="s">
        <v>597</v>
      </c>
      <c r="N759" t="s">
        <v>596</v>
      </c>
    </row>
    <row r="760" spans="1:14" x14ac:dyDescent="0.25">
      <c r="A760" s="18">
        <v>45967</v>
      </c>
      <c r="B760" t="s">
        <v>319</v>
      </c>
      <c r="C760" t="s">
        <v>482</v>
      </c>
      <c r="D760" t="s">
        <v>483</v>
      </c>
      <c r="E760" t="s">
        <v>269</v>
      </c>
      <c r="F760" t="s">
        <v>49</v>
      </c>
      <c r="G760">
        <v>-1067</v>
      </c>
      <c r="H760">
        <v>107.7099</v>
      </c>
      <c r="I760">
        <v>114926.4633</v>
      </c>
      <c r="K760">
        <v>107.7099</v>
      </c>
      <c r="L760">
        <v>114926.4633</v>
      </c>
      <c r="M760" t="s">
        <v>483</v>
      </c>
      <c r="N760" t="s">
        <v>482</v>
      </c>
    </row>
    <row r="761" spans="1:14" x14ac:dyDescent="0.25">
      <c r="A761" s="18">
        <v>45967</v>
      </c>
      <c r="B761" t="s">
        <v>289</v>
      </c>
      <c r="C761" t="s">
        <v>294</v>
      </c>
      <c r="D761" t="s">
        <v>80</v>
      </c>
      <c r="E761" t="s">
        <v>505</v>
      </c>
      <c r="F761" t="s">
        <v>82</v>
      </c>
      <c r="G761">
        <v>1308</v>
      </c>
      <c r="H761">
        <v>70.011499999999998</v>
      </c>
      <c r="I761">
        <v>-91575.042000000001</v>
      </c>
      <c r="K761">
        <v>70.011499999999998</v>
      </c>
      <c r="L761">
        <v>-91575.042000000001</v>
      </c>
      <c r="M761" t="s">
        <v>80</v>
      </c>
      <c r="N761" t="s">
        <v>294</v>
      </c>
    </row>
    <row r="762" spans="1:14" x14ac:dyDescent="0.25">
      <c r="A762" s="18">
        <v>45967</v>
      </c>
      <c r="B762" t="s">
        <v>289</v>
      </c>
      <c r="C762" t="s">
        <v>325</v>
      </c>
      <c r="D762" t="s">
        <v>47</v>
      </c>
      <c r="E762" t="s">
        <v>48</v>
      </c>
      <c r="F762" t="s">
        <v>36</v>
      </c>
      <c r="G762">
        <v>1278</v>
      </c>
      <c r="H762">
        <v>86.757800000000003</v>
      </c>
      <c r="I762">
        <v>-110876.4684</v>
      </c>
      <c r="K762">
        <v>86.757800000000003</v>
      </c>
      <c r="L762">
        <v>-110876.4684</v>
      </c>
      <c r="M762" t="s">
        <v>47</v>
      </c>
      <c r="N762" t="s">
        <v>325</v>
      </c>
    </row>
    <row r="763" spans="1:14" x14ac:dyDescent="0.25">
      <c r="A763" s="18">
        <v>45967</v>
      </c>
      <c r="B763" t="s">
        <v>319</v>
      </c>
      <c r="C763" t="s">
        <v>582</v>
      </c>
      <c r="D763" t="s">
        <v>83</v>
      </c>
      <c r="E763" t="s">
        <v>583</v>
      </c>
      <c r="F763" t="s">
        <v>82</v>
      </c>
      <c r="G763">
        <v>-593</v>
      </c>
      <c r="H763">
        <v>156.37299999999999</v>
      </c>
      <c r="I763">
        <v>92729.188999999998</v>
      </c>
      <c r="K763">
        <v>156.37299999999999</v>
      </c>
      <c r="L763">
        <v>92729.188999999998</v>
      </c>
      <c r="M763" t="s">
        <v>83</v>
      </c>
      <c r="N763" t="s">
        <v>582</v>
      </c>
    </row>
    <row r="764" spans="1:14" x14ac:dyDescent="0.25">
      <c r="A764" s="18">
        <v>45967</v>
      </c>
      <c r="B764" t="s">
        <v>289</v>
      </c>
      <c r="C764" t="s">
        <v>633</v>
      </c>
      <c r="D764" t="s">
        <v>634</v>
      </c>
      <c r="E764" t="s">
        <v>281</v>
      </c>
      <c r="F764" t="s">
        <v>21</v>
      </c>
      <c r="G764">
        <v>2516</v>
      </c>
      <c r="H764">
        <v>39.53</v>
      </c>
      <c r="I764">
        <v>-99457.48</v>
      </c>
      <c r="K764">
        <v>39.53</v>
      </c>
      <c r="L764">
        <v>-99457.48</v>
      </c>
      <c r="M764" t="s">
        <v>634</v>
      </c>
      <c r="N764" t="s">
        <v>633</v>
      </c>
    </row>
    <row r="765" spans="1:14" x14ac:dyDescent="0.25">
      <c r="A765" s="18">
        <v>45967</v>
      </c>
      <c r="B765" t="s">
        <v>319</v>
      </c>
      <c r="C765" t="s">
        <v>435</v>
      </c>
      <c r="D765" t="s">
        <v>99</v>
      </c>
      <c r="E765" t="s">
        <v>100</v>
      </c>
      <c r="F765" t="s">
        <v>21</v>
      </c>
      <c r="G765">
        <v>-11262</v>
      </c>
      <c r="H765">
        <v>8.968</v>
      </c>
      <c r="I765">
        <v>100997.61599999999</v>
      </c>
      <c r="K765">
        <v>8.968</v>
      </c>
      <c r="L765">
        <v>100997.61599999999</v>
      </c>
      <c r="M765" t="s">
        <v>99</v>
      </c>
      <c r="N765" t="s">
        <v>435</v>
      </c>
    </row>
    <row r="766" spans="1:14" x14ac:dyDescent="0.25">
      <c r="A766" s="18">
        <v>45968</v>
      </c>
      <c r="B766" t="s">
        <v>289</v>
      </c>
      <c r="C766" t="s">
        <v>630</v>
      </c>
      <c r="D766" t="s">
        <v>631</v>
      </c>
      <c r="E766" t="s">
        <v>632</v>
      </c>
      <c r="F766" t="s">
        <v>21</v>
      </c>
      <c r="G766">
        <v>17000</v>
      </c>
      <c r="H766">
        <v>2.9666999999999999</v>
      </c>
      <c r="I766">
        <v>-50433.9</v>
      </c>
      <c r="K766">
        <v>2.9666999999999999</v>
      </c>
      <c r="L766">
        <v>-50433.9</v>
      </c>
      <c r="M766" t="s">
        <v>631</v>
      </c>
      <c r="N766" t="s">
        <v>630</v>
      </c>
    </row>
    <row r="767" spans="1:14" x14ac:dyDescent="0.25">
      <c r="A767" s="18">
        <v>45968</v>
      </c>
      <c r="B767" t="s">
        <v>319</v>
      </c>
      <c r="C767" t="s">
        <v>421</v>
      </c>
      <c r="D767" t="s">
        <v>422</v>
      </c>
      <c r="E767" t="s">
        <v>423</v>
      </c>
      <c r="F767" t="s">
        <v>49</v>
      </c>
      <c r="G767">
        <v>-1568</v>
      </c>
      <c r="H767">
        <v>90.567300000000003</v>
      </c>
      <c r="I767">
        <v>142009.5264</v>
      </c>
      <c r="K767">
        <v>90.567300000000003</v>
      </c>
      <c r="L767">
        <v>142009.5264</v>
      </c>
      <c r="M767" t="s">
        <v>422</v>
      </c>
      <c r="N767" t="s">
        <v>421</v>
      </c>
    </row>
    <row r="768" spans="1:14" x14ac:dyDescent="0.25">
      <c r="A768" s="18">
        <v>45968</v>
      </c>
      <c r="B768" t="s">
        <v>289</v>
      </c>
      <c r="C768" t="s">
        <v>290</v>
      </c>
      <c r="D768" t="s">
        <v>45</v>
      </c>
      <c r="E768" t="s">
        <v>46</v>
      </c>
      <c r="F768" t="s">
        <v>21</v>
      </c>
      <c r="G768">
        <v>1190</v>
      </c>
      <c r="H768">
        <v>41.857399999999998</v>
      </c>
      <c r="I768">
        <v>-49810.305999999997</v>
      </c>
      <c r="K768">
        <v>41.857399999999998</v>
      </c>
      <c r="L768">
        <v>-49810.305999999997</v>
      </c>
      <c r="M768" t="s">
        <v>45</v>
      </c>
      <c r="N768" t="s">
        <v>290</v>
      </c>
    </row>
    <row r="769" spans="1:14" x14ac:dyDescent="0.25">
      <c r="A769" s="18">
        <v>45968</v>
      </c>
      <c r="B769" t="s">
        <v>289</v>
      </c>
      <c r="C769" t="s">
        <v>290</v>
      </c>
      <c r="D769" t="s">
        <v>45</v>
      </c>
      <c r="E769" t="s">
        <v>46</v>
      </c>
      <c r="F769" t="s">
        <v>21</v>
      </c>
      <c r="G769">
        <v>1182</v>
      </c>
      <c r="H769">
        <v>41.56</v>
      </c>
      <c r="I769">
        <v>-49123.920000000006</v>
      </c>
      <c r="K769">
        <v>41.56</v>
      </c>
      <c r="L769">
        <v>-49123.920000000006</v>
      </c>
      <c r="M769" t="s">
        <v>45</v>
      </c>
      <c r="N769" t="s">
        <v>290</v>
      </c>
    </row>
    <row r="770" spans="1:14" x14ac:dyDescent="0.25">
      <c r="A770" s="18">
        <v>45968</v>
      </c>
      <c r="B770" t="s">
        <v>319</v>
      </c>
      <c r="C770" t="s">
        <v>569</v>
      </c>
      <c r="D770" t="s">
        <v>570</v>
      </c>
      <c r="E770" t="s">
        <v>571</v>
      </c>
      <c r="F770" t="s">
        <v>49</v>
      </c>
      <c r="G770">
        <v>-2044</v>
      </c>
      <c r="H770">
        <v>22.176100000000002</v>
      </c>
      <c r="I770">
        <v>45327.948400000001</v>
      </c>
      <c r="K770">
        <v>22.176100000000002</v>
      </c>
      <c r="L770">
        <v>45327.948400000001</v>
      </c>
      <c r="M770" t="s">
        <v>570</v>
      </c>
      <c r="N770" t="s">
        <v>569</v>
      </c>
    </row>
    <row r="771" spans="1:14" x14ac:dyDescent="0.25">
      <c r="A771" s="18">
        <v>45968</v>
      </c>
      <c r="B771" t="s">
        <v>319</v>
      </c>
      <c r="C771" t="s">
        <v>493</v>
      </c>
      <c r="D771" t="s">
        <v>28</v>
      </c>
      <c r="E771" t="s">
        <v>29</v>
      </c>
      <c r="F771" t="s">
        <v>21</v>
      </c>
      <c r="G771">
        <v>-1069</v>
      </c>
      <c r="H771">
        <v>232.7458</v>
      </c>
      <c r="I771">
        <v>248805.26019999999</v>
      </c>
      <c r="K771">
        <v>232.7458</v>
      </c>
      <c r="L771">
        <v>248805.26019999999</v>
      </c>
      <c r="M771" t="s">
        <v>28</v>
      </c>
      <c r="N771" t="s">
        <v>493</v>
      </c>
    </row>
    <row r="772" spans="1:14" x14ac:dyDescent="0.25">
      <c r="A772" s="18">
        <v>45968</v>
      </c>
      <c r="B772" t="s">
        <v>319</v>
      </c>
      <c r="C772" t="s">
        <v>486</v>
      </c>
      <c r="D772" t="s">
        <v>487</v>
      </c>
      <c r="E772" t="s">
        <v>488</v>
      </c>
      <c r="F772" t="s">
        <v>49</v>
      </c>
      <c r="G772">
        <v>-465</v>
      </c>
      <c r="H772">
        <v>495.95569999999998</v>
      </c>
      <c r="I772">
        <v>230619.40049999999</v>
      </c>
      <c r="K772">
        <v>495.95569999999998</v>
      </c>
      <c r="L772">
        <v>230619.40049999999</v>
      </c>
      <c r="M772" t="s">
        <v>487</v>
      </c>
      <c r="N772" t="s">
        <v>486</v>
      </c>
    </row>
    <row r="773" spans="1:14" x14ac:dyDescent="0.25">
      <c r="A773" s="18">
        <v>45968</v>
      </c>
      <c r="B773" t="s">
        <v>289</v>
      </c>
      <c r="C773" t="s">
        <v>316</v>
      </c>
      <c r="D773" t="s">
        <v>317</v>
      </c>
      <c r="E773" t="s">
        <v>274</v>
      </c>
      <c r="F773" t="s">
        <v>21</v>
      </c>
      <c r="G773">
        <v>854</v>
      </c>
      <c r="H773">
        <v>58.2042</v>
      </c>
      <c r="I773">
        <v>-49706.3868</v>
      </c>
      <c r="K773">
        <v>58.2042</v>
      </c>
      <c r="L773">
        <v>-49706.3868</v>
      </c>
      <c r="M773" t="s">
        <v>317</v>
      </c>
      <c r="N773" t="s">
        <v>316</v>
      </c>
    </row>
    <row r="774" spans="1:14" x14ac:dyDescent="0.25">
      <c r="A774" s="18">
        <v>45968</v>
      </c>
      <c r="B774" t="s">
        <v>319</v>
      </c>
      <c r="C774" t="s">
        <v>608</v>
      </c>
      <c r="D774" t="s">
        <v>26</v>
      </c>
      <c r="E774" t="s">
        <v>27</v>
      </c>
      <c r="F774" t="s">
        <v>21</v>
      </c>
      <c r="G774">
        <v>-423</v>
      </c>
      <c r="H774">
        <v>296.22500000000002</v>
      </c>
      <c r="I774">
        <v>125303.175</v>
      </c>
      <c r="K774">
        <v>296.22500000000002</v>
      </c>
      <c r="L774">
        <v>125303.175</v>
      </c>
      <c r="M774" t="s">
        <v>26</v>
      </c>
      <c r="N774" t="s">
        <v>608</v>
      </c>
    </row>
    <row r="775" spans="1:14" x14ac:dyDescent="0.25">
      <c r="A775" s="18">
        <v>45968</v>
      </c>
      <c r="B775" t="s">
        <v>319</v>
      </c>
      <c r="C775" t="s">
        <v>608</v>
      </c>
      <c r="D775" t="s">
        <v>26</v>
      </c>
      <c r="E775" t="s">
        <v>27</v>
      </c>
      <c r="F775" t="s">
        <v>21</v>
      </c>
      <c r="G775">
        <v>-343</v>
      </c>
      <c r="H775">
        <v>295.49200000000002</v>
      </c>
      <c r="I775">
        <v>101353.75600000001</v>
      </c>
      <c r="K775">
        <v>295.49200000000002</v>
      </c>
      <c r="L775">
        <v>101353.75600000001</v>
      </c>
      <c r="M775" t="s">
        <v>26</v>
      </c>
      <c r="N775" t="s">
        <v>608</v>
      </c>
    </row>
    <row r="776" spans="1:14" x14ac:dyDescent="0.25">
      <c r="A776" s="18">
        <v>45968</v>
      </c>
      <c r="B776" t="s">
        <v>319</v>
      </c>
      <c r="C776" t="s">
        <v>593</v>
      </c>
      <c r="D776" t="s">
        <v>594</v>
      </c>
      <c r="E776" t="s">
        <v>595</v>
      </c>
      <c r="F776" t="s">
        <v>21</v>
      </c>
      <c r="G776">
        <v>-286</v>
      </c>
      <c r="H776">
        <v>274.34719999999999</v>
      </c>
      <c r="I776">
        <v>78463.299199999994</v>
      </c>
      <c r="K776">
        <v>274.34719999999999</v>
      </c>
      <c r="L776">
        <v>78463.299199999994</v>
      </c>
      <c r="M776" t="s">
        <v>594</v>
      </c>
      <c r="N776" t="s">
        <v>593</v>
      </c>
    </row>
    <row r="777" spans="1:14" x14ac:dyDescent="0.25">
      <c r="A777" s="18">
        <v>45968</v>
      </c>
      <c r="B777" t="s">
        <v>289</v>
      </c>
      <c r="C777" t="s">
        <v>619</v>
      </c>
      <c r="D777" t="s">
        <v>620</v>
      </c>
      <c r="E777" t="s">
        <v>621</v>
      </c>
      <c r="F777" t="s">
        <v>21</v>
      </c>
      <c r="G777">
        <v>320</v>
      </c>
      <c r="H777">
        <v>308.89999999999998</v>
      </c>
      <c r="I777">
        <v>-98848</v>
      </c>
      <c r="K777">
        <v>308.89999999999998</v>
      </c>
      <c r="L777">
        <v>-98848</v>
      </c>
      <c r="M777" t="s">
        <v>620</v>
      </c>
      <c r="N777" t="s">
        <v>619</v>
      </c>
    </row>
    <row r="778" spans="1:14" x14ac:dyDescent="0.25">
      <c r="A778" s="18">
        <v>45968</v>
      </c>
      <c r="B778" t="s">
        <v>289</v>
      </c>
      <c r="C778" t="s">
        <v>563</v>
      </c>
      <c r="D778" t="s">
        <v>564</v>
      </c>
      <c r="E778" t="s">
        <v>565</v>
      </c>
      <c r="F778" t="s">
        <v>21</v>
      </c>
      <c r="G778">
        <v>2</v>
      </c>
      <c r="H778">
        <v>23567</v>
      </c>
      <c r="I778">
        <v>-235670</v>
      </c>
      <c r="K778">
        <v>23567</v>
      </c>
      <c r="L778">
        <v>-235670</v>
      </c>
      <c r="M778" t="s">
        <v>564</v>
      </c>
      <c r="N778" t="s">
        <v>563</v>
      </c>
    </row>
    <row r="779" spans="1:14" x14ac:dyDescent="0.25">
      <c r="A779" s="18">
        <v>45968</v>
      </c>
      <c r="B779" t="s">
        <v>289</v>
      </c>
      <c r="C779" t="s">
        <v>325</v>
      </c>
      <c r="D779" t="s">
        <v>47</v>
      </c>
      <c r="E779" t="s">
        <v>48</v>
      </c>
      <c r="F779" t="s">
        <v>36</v>
      </c>
      <c r="G779">
        <v>1020</v>
      </c>
      <c r="H779">
        <v>86.490200000000002</v>
      </c>
      <c r="I779">
        <v>-88220.004000000001</v>
      </c>
      <c r="K779">
        <v>86.490200000000002</v>
      </c>
      <c r="L779">
        <v>-88220.004000000001</v>
      </c>
      <c r="M779" t="s">
        <v>47</v>
      </c>
      <c r="N779" t="s">
        <v>325</v>
      </c>
    </row>
    <row r="780" spans="1:14" x14ac:dyDescent="0.25">
      <c r="A780" s="18">
        <v>45968</v>
      </c>
      <c r="B780" t="s">
        <v>289</v>
      </c>
      <c r="C780" t="s">
        <v>342</v>
      </c>
      <c r="D780" t="s">
        <v>343</v>
      </c>
      <c r="E780" t="s">
        <v>282</v>
      </c>
      <c r="F780" t="s">
        <v>21</v>
      </c>
      <c r="G780">
        <v>1238</v>
      </c>
      <c r="H780">
        <v>79.933000000000007</v>
      </c>
      <c r="I780">
        <v>-98957.054000000004</v>
      </c>
      <c r="K780">
        <v>79.933000000000007</v>
      </c>
      <c r="L780">
        <v>-98957.054000000004</v>
      </c>
      <c r="M780" t="s">
        <v>343</v>
      </c>
      <c r="N780" t="s">
        <v>342</v>
      </c>
    </row>
    <row r="781" spans="1:14" x14ac:dyDescent="0.25">
      <c r="A781" s="18">
        <v>45968</v>
      </c>
      <c r="B781" t="s">
        <v>289</v>
      </c>
      <c r="C781" t="s">
        <v>342</v>
      </c>
      <c r="D781" t="s">
        <v>343</v>
      </c>
      <c r="E781" t="s">
        <v>282</v>
      </c>
      <c r="F781" t="s">
        <v>21</v>
      </c>
      <c r="G781">
        <v>1238</v>
      </c>
      <c r="H781">
        <v>79.933000000000007</v>
      </c>
      <c r="I781">
        <v>-98957.054000000004</v>
      </c>
      <c r="K781">
        <v>79.933000000000007</v>
      </c>
      <c r="L781">
        <v>-98957.054000000004</v>
      </c>
      <c r="M781" t="s">
        <v>343</v>
      </c>
      <c r="N781" t="s">
        <v>342</v>
      </c>
    </row>
    <row r="782" spans="1:14" x14ac:dyDescent="0.25">
      <c r="A782" s="18">
        <v>45968</v>
      </c>
      <c r="B782" t="s">
        <v>289</v>
      </c>
      <c r="C782" t="s">
        <v>342</v>
      </c>
      <c r="D782" t="s">
        <v>343</v>
      </c>
      <c r="E782" t="s">
        <v>282</v>
      </c>
      <c r="F782" t="s">
        <v>21</v>
      </c>
      <c r="G782">
        <v>1550</v>
      </c>
      <c r="H782">
        <v>79.774000000000001</v>
      </c>
      <c r="I782">
        <v>-123649.7</v>
      </c>
      <c r="K782">
        <v>79.774000000000001</v>
      </c>
      <c r="L782">
        <v>-123649.7</v>
      </c>
      <c r="M782" t="s">
        <v>343</v>
      </c>
      <c r="N782" t="s">
        <v>342</v>
      </c>
    </row>
    <row r="783" spans="1:14" x14ac:dyDescent="0.25">
      <c r="A783" s="18">
        <v>45968</v>
      </c>
      <c r="B783" t="s">
        <v>289</v>
      </c>
      <c r="C783" t="s">
        <v>582</v>
      </c>
      <c r="D783" t="s">
        <v>83</v>
      </c>
      <c r="E783" t="s">
        <v>583</v>
      </c>
      <c r="F783" t="s">
        <v>82</v>
      </c>
      <c r="G783">
        <v>595</v>
      </c>
      <c r="H783">
        <v>155.125</v>
      </c>
      <c r="I783">
        <v>-92299.375</v>
      </c>
      <c r="K783">
        <v>155.125</v>
      </c>
      <c r="L783">
        <v>-92299.375</v>
      </c>
      <c r="M783" t="s">
        <v>83</v>
      </c>
      <c r="N783" t="s">
        <v>582</v>
      </c>
    </row>
    <row r="784" spans="1:14" x14ac:dyDescent="0.25">
      <c r="A784" s="18">
        <v>45968</v>
      </c>
      <c r="B784" t="s">
        <v>319</v>
      </c>
      <c r="C784" t="s">
        <v>605</v>
      </c>
      <c r="D784" t="s">
        <v>606</v>
      </c>
      <c r="E784" t="s">
        <v>607</v>
      </c>
      <c r="F784" t="s">
        <v>21</v>
      </c>
      <c r="G784">
        <v>-4</v>
      </c>
      <c r="H784">
        <v>7933.125</v>
      </c>
      <c r="I784">
        <v>317325</v>
      </c>
      <c r="K784">
        <v>7933.125</v>
      </c>
      <c r="L784">
        <v>317325</v>
      </c>
      <c r="M784" t="s">
        <v>606</v>
      </c>
      <c r="N784" t="s">
        <v>605</v>
      </c>
    </row>
    <row r="785" spans="1:14" x14ac:dyDescent="0.25">
      <c r="A785" s="18">
        <v>45968</v>
      </c>
      <c r="B785" t="s">
        <v>289</v>
      </c>
      <c r="C785" t="s">
        <v>633</v>
      </c>
      <c r="D785" t="s">
        <v>634</v>
      </c>
      <c r="E785" t="s">
        <v>281</v>
      </c>
      <c r="F785" t="s">
        <v>21</v>
      </c>
      <c r="G785">
        <v>1256</v>
      </c>
      <c r="H785">
        <v>39.797899999999998</v>
      </c>
      <c r="I785">
        <v>-49986.162400000001</v>
      </c>
      <c r="K785">
        <v>39.797899999999998</v>
      </c>
      <c r="L785">
        <v>-49986.162400000001</v>
      </c>
      <c r="M785" t="s">
        <v>634</v>
      </c>
      <c r="N785" t="s">
        <v>633</v>
      </c>
    </row>
    <row r="786" spans="1:14" x14ac:dyDescent="0.25">
      <c r="A786" s="18">
        <v>45968</v>
      </c>
      <c r="B786" t="s">
        <v>319</v>
      </c>
      <c r="C786" t="s">
        <v>464</v>
      </c>
      <c r="D786" t="s">
        <v>465</v>
      </c>
      <c r="E786" t="s">
        <v>265</v>
      </c>
      <c r="F786" t="s">
        <v>49</v>
      </c>
      <c r="G786">
        <v>-4036</v>
      </c>
      <c r="H786">
        <v>32.382300000000001</v>
      </c>
      <c r="I786">
        <v>130694.96280000001</v>
      </c>
      <c r="K786">
        <v>32.382300000000001</v>
      </c>
      <c r="L786">
        <v>130694.96280000001</v>
      </c>
      <c r="M786" t="s">
        <v>465</v>
      </c>
      <c r="N786" t="s">
        <v>464</v>
      </c>
    </row>
    <row r="787" spans="1:14" x14ac:dyDescent="0.25">
      <c r="A787" s="18">
        <v>45968</v>
      </c>
      <c r="B787" t="s">
        <v>319</v>
      </c>
      <c r="C787" t="s">
        <v>331</v>
      </c>
      <c r="D787" t="s">
        <v>332</v>
      </c>
      <c r="E787" t="s">
        <v>333</v>
      </c>
      <c r="F787" t="s">
        <v>21</v>
      </c>
      <c r="G787">
        <v>-91</v>
      </c>
      <c r="H787">
        <v>1341.1515999999999</v>
      </c>
      <c r="I787">
        <v>122044.7956</v>
      </c>
      <c r="K787">
        <v>1341.1515999999999</v>
      </c>
      <c r="L787">
        <v>122044.7956</v>
      </c>
      <c r="M787" t="s">
        <v>332</v>
      </c>
      <c r="N787" t="s">
        <v>331</v>
      </c>
    </row>
    <row r="788" spans="1:14" x14ac:dyDescent="0.25">
      <c r="A788" s="18">
        <v>45971</v>
      </c>
      <c r="B788" t="s">
        <v>289</v>
      </c>
      <c r="C788" t="s">
        <v>630</v>
      </c>
      <c r="D788" t="s">
        <v>631</v>
      </c>
      <c r="E788" t="s">
        <v>632</v>
      </c>
      <c r="F788" t="s">
        <v>21</v>
      </c>
      <c r="G788">
        <v>25000</v>
      </c>
      <c r="H788">
        <v>2.9809999999999999</v>
      </c>
      <c r="I788">
        <v>-74525</v>
      </c>
      <c r="K788">
        <v>2.9809999999999999</v>
      </c>
      <c r="L788">
        <v>-74525</v>
      </c>
      <c r="M788" t="s">
        <v>631</v>
      </c>
      <c r="N788" t="s">
        <v>630</v>
      </c>
    </row>
    <row r="789" spans="1:14" x14ac:dyDescent="0.25">
      <c r="A789" s="18">
        <v>45971</v>
      </c>
      <c r="B789" t="s">
        <v>319</v>
      </c>
      <c r="C789" t="s">
        <v>599</v>
      </c>
      <c r="D789" t="s">
        <v>600</v>
      </c>
      <c r="E789" t="s">
        <v>601</v>
      </c>
      <c r="F789" t="s">
        <v>21</v>
      </c>
      <c r="G789">
        <v>-282</v>
      </c>
      <c r="H789">
        <v>354.33620000000002</v>
      </c>
      <c r="I789">
        <v>99922.808400000009</v>
      </c>
      <c r="K789">
        <v>354.33620000000002</v>
      </c>
      <c r="L789">
        <v>99922.808400000009</v>
      </c>
      <c r="M789" t="s">
        <v>600</v>
      </c>
      <c r="N789" t="s">
        <v>599</v>
      </c>
    </row>
    <row r="790" spans="1:14" x14ac:dyDescent="0.25">
      <c r="A790" s="18">
        <v>45971</v>
      </c>
      <c r="B790" t="s">
        <v>319</v>
      </c>
      <c r="C790" t="s">
        <v>599</v>
      </c>
      <c r="D790" t="s">
        <v>600</v>
      </c>
      <c r="E790" t="s">
        <v>601</v>
      </c>
      <c r="F790" t="s">
        <v>21</v>
      </c>
      <c r="G790">
        <v>-197</v>
      </c>
      <c r="H790">
        <v>354.9</v>
      </c>
      <c r="I790">
        <v>69915.299999999988</v>
      </c>
      <c r="K790">
        <v>354.89999999999992</v>
      </c>
      <c r="L790">
        <v>69915.299999999988</v>
      </c>
      <c r="M790" t="s">
        <v>600</v>
      </c>
      <c r="N790" t="s">
        <v>599</v>
      </c>
    </row>
    <row r="791" spans="1:14" x14ac:dyDescent="0.25">
      <c r="A791" s="18">
        <v>45971</v>
      </c>
      <c r="B791" t="s">
        <v>289</v>
      </c>
      <c r="C791" t="s">
        <v>316</v>
      </c>
      <c r="D791" t="s">
        <v>317</v>
      </c>
      <c r="E791" t="s">
        <v>274</v>
      </c>
      <c r="F791" t="s">
        <v>21</v>
      </c>
      <c r="G791">
        <v>1710</v>
      </c>
      <c r="H791">
        <v>58.3</v>
      </c>
      <c r="I791">
        <v>-99693</v>
      </c>
      <c r="K791">
        <v>58.3</v>
      </c>
      <c r="L791">
        <v>-99693</v>
      </c>
      <c r="M791" t="s">
        <v>317</v>
      </c>
      <c r="N791" t="s">
        <v>316</v>
      </c>
    </row>
    <row r="792" spans="1:14" x14ac:dyDescent="0.25">
      <c r="A792" s="18">
        <v>45971</v>
      </c>
      <c r="B792" t="s">
        <v>289</v>
      </c>
      <c r="C792" t="s">
        <v>316</v>
      </c>
      <c r="D792" t="s">
        <v>317</v>
      </c>
      <c r="E792" t="s">
        <v>274</v>
      </c>
      <c r="F792" t="s">
        <v>21</v>
      </c>
      <c r="G792">
        <v>1710</v>
      </c>
      <c r="H792">
        <v>57.7791</v>
      </c>
      <c r="I792">
        <v>-98802.260999999999</v>
      </c>
      <c r="K792">
        <v>57.7791</v>
      </c>
      <c r="L792">
        <v>-98802.260999999999</v>
      </c>
      <c r="M792" t="s">
        <v>317</v>
      </c>
      <c r="N792" t="s">
        <v>316</v>
      </c>
    </row>
    <row r="793" spans="1:14" x14ac:dyDescent="0.25">
      <c r="A793" s="18">
        <v>45971</v>
      </c>
      <c r="B793" t="s">
        <v>289</v>
      </c>
      <c r="C793" t="s">
        <v>316</v>
      </c>
      <c r="D793" t="s">
        <v>317</v>
      </c>
      <c r="E793" t="s">
        <v>274</v>
      </c>
      <c r="F793" t="s">
        <v>21</v>
      </c>
      <c r="G793">
        <v>1196</v>
      </c>
      <c r="H793">
        <v>58.08</v>
      </c>
      <c r="I793">
        <v>-69463.679999999993</v>
      </c>
      <c r="K793">
        <v>58.079999999999991</v>
      </c>
      <c r="L793">
        <v>-69463.679999999993</v>
      </c>
      <c r="M793" t="s">
        <v>317</v>
      </c>
      <c r="N793" t="s">
        <v>316</v>
      </c>
    </row>
    <row r="794" spans="1:14" x14ac:dyDescent="0.25">
      <c r="A794" s="18">
        <v>45971</v>
      </c>
      <c r="B794" t="s">
        <v>289</v>
      </c>
      <c r="C794" t="s">
        <v>557</v>
      </c>
      <c r="D794" t="s">
        <v>558</v>
      </c>
      <c r="E794" t="s">
        <v>559</v>
      </c>
      <c r="F794" t="s">
        <v>21</v>
      </c>
      <c r="G794">
        <v>3</v>
      </c>
      <c r="H794">
        <v>5664</v>
      </c>
      <c r="I794">
        <v>-169920</v>
      </c>
      <c r="K794">
        <v>5664</v>
      </c>
      <c r="L794">
        <v>-169920</v>
      </c>
      <c r="M794" t="s">
        <v>558</v>
      </c>
      <c r="N794" t="s">
        <v>557</v>
      </c>
    </row>
    <row r="795" spans="1:14" x14ac:dyDescent="0.25">
      <c r="A795" s="18">
        <v>45971</v>
      </c>
      <c r="B795" t="s">
        <v>289</v>
      </c>
      <c r="C795" t="s">
        <v>619</v>
      </c>
      <c r="D795" t="s">
        <v>620</v>
      </c>
      <c r="E795" t="s">
        <v>621</v>
      </c>
      <c r="F795" t="s">
        <v>21</v>
      </c>
      <c r="G795">
        <v>243</v>
      </c>
      <c r="H795">
        <v>310.3</v>
      </c>
      <c r="I795">
        <v>-75402.900000000009</v>
      </c>
      <c r="K795">
        <v>310.3</v>
      </c>
      <c r="L795">
        <v>-75402.900000000009</v>
      </c>
      <c r="M795" t="s">
        <v>620</v>
      </c>
      <c r="N795" t="s">
        <v>619</v>
      </c>
    </row>
    <row r="796" spans="1:14" x14ac:dyDescent="0.25">
      <c r="A796" s="18">
        <v>45971</v>
      </c>
      <c r="B796" t="s">
        <v>289</v>
      </c>
      <c r="C796" t="s">
        <v>342</v>
      </c>
      <c r="D796" t="s">
        <v>343</v>
      </c>
      <c r="E796" t="s">
        <v>282</v>
      </c>
      <c r="F796" t="s">
        <v>21</v>
      </c>
      <c r="G796">
        <v>940</v>
      </c>
      <c r="H796">
        <v>80.819999999999993</v>
      </c>
      <c r="I796">
        <v>-75970.799999999988</v>
      </c>
      <c r="K796">
        <v>80.819999999999993</v>
      </c>
      <c r="L796">
        <v>-75970.799999999988</v>
      </c>
      <c r="M796" t="s">
        <v>343</v>
      </c>
      <c r="N796" t="s">
        <v>342</v>
      </c>
    </row>
    <row r="797" spans="1:14" x14ac:dyDescent="0.25">
      <c r="A797" s="18">
        <v>45972</v>
      </c>
      <c r="B797" t="s">
        <v>289</v>
      </c>
      <c r="C797" t="s">
        <v>331</v>
      </c>
      <c r="D797" t="s">
        <v>332</v>
      </c>
      <c r="E797" t="s">
        <v>333</v>
      </c>
      <c r="F797" t="s">
        <v>21</v>
      </c>
      <c r="G797">
        <v>72</v>
      </c>
      <c r="H797">
        <v>1400.8</v>
      </c>
      <c r="I797">
        <v>-100857.59999999999</v>
      </c>
      <c r="K797">
        <v>1400.8</v>
      </c>
      <c r="L797">
        <v>-100857.59999999999</v>
      </c>
      <c r="M797" t="s">
        <v>332</v>
      </c>
      <c r="N797" t="s">
        <v>331</v>
      </c>
    </row>
    <row r="798" spans="1:14" x14ac:dyDescent="0.25">
      <c r="A798" s="18">
        <v>45973</v>
      </c>
      <c r="B798" t="s">
        <v>289</v>
      </c>
      <c r="C798" t="s">
        <v>630</v>
      </c>
      <c r="D798" t="s">
        <v>631</v>
      </c>
      <c r="E798" t="s">
        <v>632</v>
      </c>
      <c r="F798" t="s">
        <v>21</v>
      </c>
      <c r="G798">
        <v>33200</v>
      </c>
      <c r="H798">
        <v>3.0097999999999998</v>
      </c>
      <c r="I798">
        <v>-99925.36</v>
      </c>
      <c r="K798">
        <v>3.0097999999999998</v>
      </c>
      <c r="L798">
        <v>-99925.36</v>
      </c>
      <c r="M798" t="s">
        <v>631</v>
      </c>
      <c r="N798" t="s">
        <v>630</v>
      </c>
    </row>
    <row r="799" spans="1:14" x14ac:dyDescent="0.25">
      <c r="A799" s="18">
        <v>45973</v>
      </c>
      <c r="B799" t="s">
        <v>289</v>
      </c>
      <c r="C799" t="s">
        <v>527</v>
      </c>
      <c r="D799" t="s">
        <v>528</v>
      </c>
      <c r="E799" t="s">
        <v>529</v>
      </c>
      <c r="F799" t="s">
        <v>21</v>
      </c>
      <c r="G799">
        <v>2</v>
      </c>
      <c r="H799">
        <v>129.33000000000001</v>
      </c>
      <c r="I799">
        <v>-258660.00000000003</v>
      </c>
      <c r="K799">
        <v>129.33000000000001</v>
      </c>
      <c r="L799">
        <v>-258660.00000000003</v>
      </c>
      <c r="M799" t="s">
        <v>528</v>
      </c>
      <c r="N799" t="s">
        <v>527</v>
      </c>
    </row>
    <row r="800" spans="1:14" x14ac:dyDescent="0.25">
      <c r="A800" s="18">
        <v>45973</v>
      </c>
      <c r="B800" t="s">
        <v>289</v>
      </c>
      <c r="C800" t="s">
        <v>331</v>
      </c>
      <c r="D800" t="s">
        <v>332</v>
      </c>
      <c r="E800" t="s">
        <v>333</v>
      </c>
      <c r="F800" t="s">
        <v>21</v>
      </c>
      <c r="G800">
        <v>68</v>
      </c>
      <c r="H800">
        <v>1441.2882</v>
      </c>
      <c r="I800">
        <v>-98007.597599999994</v>
      </c>
      <c r="K800">
        <v>1441.2882</v>
      </c>
      <c r="L800">
        <v>-98007.597599999994</v>
      </c>
      <c r="M800" t="s">
        <v>332</v>
      </c>
      <c r="N800" t="s">
        <v>331</v>
      </c>
    </row>
    <row r="801" spans="1:14" x14ac:dyDescent="0.25">
      <c r="A801" s="18">
        <v>45974</v>
      </c>
      <c r="B801" t="s">
        <v>289</v>
      </c>
      <c r="C801" t="s">
        <v>630</v>
      </c>
      <c r="D801" t="s">
        <v>631</v>
      </c>
      <c r="E801" t="s">
        <v>632</v>
      </c>
      <c r="F801" t="s">
        <v>21</v>
      </c>
      <c r="G801">
        <v>33410</v>
      </c>
      <c r="H801">
        <v>2.9718</v>
      </c>
      <c r="I801">
        <v>-99287.838000000003</v>
      </c>
      <c r="K801">
        <v>2.9718</v>
      </c>
      <c r="L801">
        <v>-99287.838000000003</v>
      </c>
      <c r="M801" t="s">
        <v>631</v>
      </c>
      <c r="N801" t="s">
        <v>630</v>
      </c>
    </row>
    <row r="802" spans="1:14" x14ac:dyDescent="0.25">
      <c r="A802" s="18">
        <v>45974</v>
      </c>
      <c r="B802" t="s">
        <v>319</v>
      </c>
      <c r="C802" t="s">
        <v>486</v>
      </c>
      <c r="D802" t="s">
        <v>487</v>
      </c>
      <c r="E802" t="s">
        <v>488</v>
      </c>
      <c r="F802" t="s">
        <v>49</v>
      </c>
      <c r="G802">
        <v>-340</v>
      </c>
      <c r="H802">
        <v>508.62880000000001</v>
      </c>
      <c r="I802">
        <v>172933.79200000002</v>
      </c>
      <c r="K802">
        <v>508.62880000000007</v>
      </c>
      <c r="L802">
        <v>172933.79200000002</v>
      </c>
      <c r="M802" t="s">
        <v>487</v>
      </c>
      <c r="N802" t="s">
        <v>486</v>
      </c>
    </row>
    <row r="803" spans="1:14" x14ac:dyDescent="0.25">
      <c r="A803" s="18">
        <v>45974</v>
      </c>
      <c r="B803" t="s">
        <v>289</v>
      </c>
      <c r="C803" t="s">
        <v>527</v>
      </c>
      <c r="D803" t="s">
        <v>528</v>
      </c>
      <c r="E803" t="s">
        <v>529</v>
      </c>
      <c r="F803" t="s">
        <v>21</v>
      </c>
      <c r="G803">
        <v>2</v>
      </c>
      <c r="H803">
        <v>128.88999999999999</v>
      </c>
      <c r="I803">
        <v>-257779.99999999997</v>
      </c>
      <c r="K803">
        <v>128.88999999999999</v>
      </c>
      <c r="L803">
        <v>-257779.99999999997</v>
      </c>
      <c r="M803" t="s">
        <v>528</v>
      </c>
      <c r="N803" t="s">
        <v>527</v>
      </c>
    </row>
    <row r="804" spans="1:14" x14ac:dyDescent="0.25">
      <c r="A804" s="18">
        <v>45974</v>
      </c>
      <c r="B804" t="s">
        <v>289</v>
      </c>
      <c r="C804" t="s">
        <v>563</v>
      </c>
      <c r="D804" t="s">
        <v>564</v>
      </c>
      <c r="E804" t="s">
        <v>565</v>
      </c>
      <c r="F804" t="s">
        <v>21</v>
      </c>
      <c r="G804">
        <v>2</v>
      </c>
      <c r="H804">
        <v>24114</v>
      </c>
      <c r="I804">
        <v>-241140</v>
      </c>
      <c r="K804">
        <v>24114</v>
      </c>
      <c r="L804">
        <v>-241140</v>
      </c>
      <c r="M804" t="s">
        <v>564</v>
      </c>
      <c r="N804" t="s">
        <v>563</v>
      </c>
    </row>
    <row r="805" spans="1:14" x14ac:dyDescent="0.25">
      <c r="A805" s="18">
        <v>45975</v>
      </c>
      <c r="B805" t="s">
        <v>289</v>
      </c>
      <c r="C805" t="s">
        <v>630</v>
      </c>
      <c r="D805" t="s">
        <v>631</v>
      </c>
      <c r="E805" t="s">
        <v>632</v>
      </c>
      <c r="F805" t="s">
        <v>21</v>
      </c>
      <c r="G805">
        <v>33450</v>
      </c>
      <c r="H805">
        <v>2.93</v>
      </c>
      <c r="I805">
        <v>-98008.5</v>
      </c>
      <c r="K805">
        <v>2.93</v>
      </c>
      <c r="L805">
        <v>-98008.5</v>
      </c>
      <c r="M805" t="s">
        <v>631</v>
      </c>
      <c r="N805" t="s">
        <v>630</v>
      </c>
    </row>
    <row r="806" spans="1:14" x14ac:dyDescent="0.25">
      <c r="A806" s="18">
        <v>45975</v>
      </c>
      <c r="B806" t="s">
        <v>289</v>
      </c>
      <c r="C806" t="s">
        <v>477</v>
      </c>
      <c r="D806" t="s">
        <v>478</v>
      </c>
      <c r="E806" t="s">
        <v>277</v>
      </c>
      <c r="F806" t="s">
        <v>157</v>
      </c>
      <c r="G806">
        <v>2400</v>
      </c>
      <c r="H806">
        <v>156.09309999999999</v>
      </c>
      <c r="I806">
        <v>-374623.44</v>
      </c>
      <c r="K806">
        <v>156.09309999999999</v>
      </c>
      <c r="L806">
        <v>-374623.44</v>
      </c>
      <c r="M806" t="s">
        <v>478</v>
      </c>
      <c r="N806" t="s">
        <v>477</v>
      </c>
    </row>
    <row r="807" spans="1:14" x14ac:dyDescent="0.25">
      <c r="A807" s="18">
        <v>45975</v>
      </c>
      <c r="B807" t="s">
        <v>289</v>
      </c>
      <c r="C807" t="s">
        <v>334</v>
      </c>
      <c r="D807" t="s">
        <v>335</v>
      </c>
      <c r="E807" t="s">
        <v>252</v>
      </c>
      <c r="F807" t="s">
        <v>21</v>
      </c>
      <c r="G807">
        <v>890</v>
      </c>
      <c r="H807">
        <v>64.92</v>
      </c>
      <c r="I807">
        <v>-57778.8</v>
      </c>
      <c r="K807">
        <v>64.92</v>
      </c>
      <c r="L807">
        <v>-57778.8</v>
      </c>
      <c r="M807" t="s">
        <v>335</v>
      </c>
      <c r="N807" t="s">
        <v>334</v>
      </c>
    </row>
    <row r="808" spans="1:14" x14ac:dyDescent="0.25">
      <c r="A808" s="18">
        <v>45975</v>
      </c>
      <c r="B808" t="s">
        <v>289</v>
      </c>
      <c r="C808" t="s">
        <v>290</v>
      </c>
      <c r="D808" t="s">
        <v>45</v>
      </c>
      <c r="E808" t="s">
        <v>46</v>
      </c>
      <c r="F808" t="s">
        <v>21</v>
      </c>
      <c r="G808">
        <v>1150</v>
      </c>
      <c r="H808">
        <v>42.64</v>
      </c>
      <c r="I808">
        <v>-49036</v>
      </c>
      <c r="K808">
        <v>42.64</v>
      </c>
      <c r="L808">
        <v>-49036</v>
      </c>
      <c r="M808" t="s">
        <v>45</v>
      </c>
      <c r="N808" t="s">
        <v>290</v>
      </c>
    </row>
    <row r="809" spans="1:14" x14ac:dyDescent="0.25">
      <c r="A809" s="18">
        <v>45975</v>
      </c>
      <c r="B809" t="s">
        <v>289</v>
      </c>
      <c r="C809" t="s">
        <v>328</v>
      </c>
      <c r="D809" t="s">
        <v>329</v>
      </c>
      <c r="E809" t="s">
        <v>330</v>
      </c>
      <c r="F809" t="s">
        <v>21</v>
      </c>
      <c r="G809">
        <v>57</v>
      </c>
      <c r="H809">
        <v>1677.5</v>
      </c>
      <c r="I809">
        <v>-95617.5</v>
      </c>
      <c r="K809">
        <v>1677.5</v>
      </c>
      <c r="L809">
        <v>-95617.5</v>
      </c>
      <c r="M809" t="s">
        <v>329</v>
      </c>
      <c r="N809" t="s">
        <v>328</v>
      </c>
    </row>
    <row r="810" spans="1:14" x14ac:dyDescent="0.25">
      <c r="A810" s="18">
        <v>45975</v>
      </c>
      <c r="B810" t="s">
        <v>319</v>
      </c>
      <c r="C810" t="s">
        <v>486</v>
      </c>
      <c r="D810" t="s">
        <v>487</v>
      </c>
      <c r="E810" t="s">
        <v>488</v>
      </c>
      <c r="F810" t="s">
        <v>49</v>
      </c>
      <c r="G810">
        <v>-245</v>
      </c>
      <c r="H810">
        <v>498.53</v>
      </c>
      <c r="I810">
        <v>122139.84999999999</v>
      </c>
      <c r="K810">
        <v>498.53</v>
      </c>
      <c r="L810">
        <v>122139.84999999999</v>
      </c>
      <c r="M810" t="s">
        <v>487</v>
      </c>
      <c r="N810" t="s">
        <v>486</v>
      </c>
    </row>
    <row r="811" spans="1:14" x14ac:dyDescent="0.25">
      <c r="A811" s="18">
        <v>45975</v>
      </c>
      <c r="B811" t="s">
        <v>319</v>
      </c>
      <c r="C811" t="s">
        <v>599</v>
      </c>
      <c r="D811" t="s">
        <v>600</v>
      </c>
      <c r="E811" t="s">
        <v>601</v>
      </c>
      <c r="F811" t="s">
        <v>21</v>
      </c>
      <c r="G811">
        <v>-278</v>
      </c>
      <c r="H811">
        <v>357.05</v>
      </c>
      <c r="I811">
        <v>99259.900000000009</v>
      </c>
      <c r="K811">
        <v>357.05</v>
      </c>
      <c r="L811">
        <v>99259.900000000009</v>
      </c>
      <c r="M811" t="s">
        <v>600</v>
      </c>
      <c r="N811" t="s">
        <v>599</v>
      </c>
    </row>
    <row r="812" spans="1:14" x14ac:dyDescent="0.25">
      <c r="A812" s="18">
        <v>45975</v>
      </c>
      <c r="B812" t="s">
        <v>319</v>
      </c>
      <c r="C812" t="s">
        <v>599</v>
      </c>
      <c r="D812" t="s">
        <v>600</v>
      </c>
      <c r="E812" t="s">
        <v>601</v>
      </c>
      <c r="F812" t="s">
        <v>21</v>
      </c>
      <c r="G812">
        <v>-279</v>
      </c>
      <c r="H812">
        <v>356.55</v>
      </c>
      <c r="I812">
        <v>99477.45</v>
      </c>
      <c r="K812">
        <v>356.55</v>
      </c>
      <c r="L812">
        <v>99477.45</v>
      </c>
      <c r="M812" t="s">
        <v>600</v>
      </c>
      <c r="N812" t="s">
        <v>599</v>
      </c>
    </row>
    <row r="813" spans="1:14" x14ac:dyDescent="0.25">
      <c r="A813" s="18">
        <v>45975</v>
      </c>
      <c r="B813" t="s">
        <v>289</v>
      </c>
      <c r="C813" t="s">
        <v>294</v>
      </c>
      <c r="D813" t="s">
        <v>80</v>
      </c>
      <c r="E813" t="s">
        <v>505</v>
      </c>
      <c r="F813" t="s">
        <v>82</v>
      </c>
      <c r="G813">
        <v>757</v>
      </c>
      <c r="H813">
        <v>70.680000000000007</v>
      </c>
      <c r="I813">
        <v>-53504.76</v>
      </c>
      <c r="K813">
        <v>70.680000000000007</v>
      </c>
      <c r="L813">
        <v>-53504.76</v>
      </c>
      <c r="M813" t="s">
        <v>80</v>
      </c>
      <c r="N813" t="s">
        <v>294</v>
      </c>
    </row>
    <row r="814" spans="1:14" x14ac:dyDescent="0.25">
      <c r="A814" s="18">
        <v>45975</v>
      </c>
      <c r="B814" t="s">
        <v>289</v>
      </c>
      <c r="C814" t="s">
        <v>608</v>
      </c>
      <c r="D814" t="s">
        <v>26</v>
      </c>
      <c r="E814" t="s">
        <v>27</v>
      </c>
      <c r="F814" t="s">
        <v>21</v>
      </c>
      <c r="G814">
        <v>156</v>
      </c>
      <c r="H814">
        <v>318.8</v>
      </c>
      <c r="I814">
        <v>-49732.800000000003</v>
      </c>
      <c r="K814">
        <v>318.8</v>
      </c>
      <c r="L814">
        <v>-49732.800000000003</v>
      </c>
      <c r="M814" t="s">
        <v>26</v>
      </c>
      <c r="N814" t="s">
        <v>608</v>
      </c>
    </row>
    <row r="815" spans="1:14" x14ac:dyDescent="0.25">
      <c r="A815" s="18">
        <v>45975</v>
      </c>
      <c r="B815" t="s">
        <v>289</v>
      </c>
      <c r="C815" t="s">
        <v>602</v>
      </c>
      <c r="D815" t="s">
        <v>603</v>
      </c>
      <c r="E815" t="s">
        <v>604</v>
      </c>
      <c r="F815" t="s">
        <v>21</v>
      </c>
      <c r="G815">
        <v>1</v>
      </c>
      <c r="H815">
        <v>16239</v>
      </c>
      <c r="I815">
        <v>-162390</v>
      </c>
      <c r="K815">
        <v>16239</v>
      </c>
      <c r="L815">
        <v>-162390</v>
      </c>
      <c r="M815" t="s">
        <v>603</v>
      </c>
      <c r="N815" t="s">
        <v>602</v>
      </c>
    </row>
    <row r="816" spans="1:14" x14ac:dyDescent="0.25">
      <c r="A816" s="18">
        <v>45975</v>
      </c>
      <c r="B816" t="s">
        <v>289</v>
      </c>
      <c r="C816" t="s">
        <v>301</v>
      </c>
      <c r="D816" t="s">
        <v>120</v>
      </c>
      <c r="E816" t="s">
        <v>363</v>
      </c>
      <c r="F816" t="s">
        <v>21</v>
      </c>
      <c r="G816">
        <v>380</v>
      </c>
      <c r="H816">
        <v>327.5539</v>
      </c>
      <c r="I816">
        <v>-124470.482</v>
      </c>
      <c r="K816">
        <v>327.5539</v>
      </c>
      <c r="L816">
        <v>-124470.482</v>
      </c>
      <c r="M816" t="s">
        <v>120</v>
      </c>
      <c r="N816" t="s">
        <v>301</v>
      </c>
    </row>
    <row r="817" spans="1:14" x14ac:dyDescent="0.25">
      <c r="A817" s="18">
        <v>45975</v>
      </c>
      <c r="B817" t="s">
        <v>289</v>
      </c>
      <c r="C817" t="s">
        <v>301</v>
      </c>
      <c r="D817" t="s">
        <v>120</v>
      </c>
      <c r="E817" t="s">
        <v>363</v>
      </c>
      <c r="F817" t="s">
        <v>21</v>
      </c>
      <c r="G817">
        <v>302</v>
      </c>
      <c r="H817">
        <v>318.8</v>
      </c>
      <c r="I817">
        <v>-96277.6</v>
      </c>
      <c r="K817">
        <v>318.8</v>
      </c>
      <c r="L817">
        <v>-96277.6</v>
      </c>
      <c r="M817" t="s">
        <v>120</v>
      </c>
      <c r="N817" t="s">
        <v>301</v>
      </c>
    </row>
    <row r="818" spans="1:14" x14ac:dyDescent="0.25">
      <c r="A818" s="18">
        <v>45975</v>
      </c>
      <c r="B818" t="s">
        <v>289</v>
      </c>
      <c r="C818" t="s">
        <v>342</v>
      </c>
      <c r="D818" t="s">
        <v>343</v>
      </c>
      <c r="E818" t="s">
        <v>282</v>
      </c>
      <c r="F818" t="s">
        <v>21</v>
      </c>
      <c r="G818">
        <v>1191</v>
      </c>
      <c r="H818">
        <v>82.799800000000005</v>
      </c>
      <c r="I818">
        <v>-98614.56180000001</v>
      </c>
      <c r="K818">
        <v>82.799800000000005</v>
      </c>
      <c r="L818">
        <v>-98614.56180000001</v>
      </c>
      <c r="M818" t="s">
        <v>343</v>
      </c>
      <c r="N818" t="s">
        <v>342</v>
      </c>
    </row>
    <row r="819" spans="1:14" x14ac:dyDescent="0.25">
      <c r="A819" s="18">
        <v>45975</v>
      </c>
      <c r="B819" t="s">
        <v>319</v>
      </c>
      <c r="C819" t="s">
        <v>435</v>
      </c>
      <c r="D819" t="s">
        <v>99</v>
      </c>
      <c r="E819" t="s">
        <v>100</v>
      </c>
      <c r="F819" t="s">
        <v>21</v>
      </c>
      <c r="G819">
        <v>-17400</v>
      </c>
      <c r="H819">
        <v>9.2431000000000001</v>
      </c>
      <c r="I819">
        <v>160829.94</v>
      </c>
      <c r="K819">
        <v>9.2431000000000001</v>
      </c>
      <c r="L819">
        <v>160829.94</v>
      </c>
      <c r="M819" t="s">
        <v>99</v>
      </c>
      <c r="N819" t="s">
        <v>435</v>
      </c>
    </row>
    <row r="820" spans="1:14" x14ac:dyDescent="0.25">
      <c r="A820" s="18">
        <v>45978</v>
      </c>
      <c r="B820" t="s">
        <v>319</v>
      </c>
      <c r="C820" t="s">
        <v>320</v>
      </c>
      <c r="D820" t="s">
        <v>321</v>
      </c>
      <c r="E820" t="s">
        <v>322</v>
      </c>
      <c r="F820" t="s">
        <v>36</v>
      </c>
      <c r="G820">
        <v>-7500</v>
      </c>
      <c r="H820">
        <v>11.85</v>
      </c>
      <c r="I820">
        <v>88875</v>
      </c>
      <c r="K820">
        <v>11.85</v>
      </c>
      <c r="L820">
        <v>88875</v>
      </c>
      <c r="M820" t="s">
        <v>321</v>
      </c>
      <c r="N820" t="s">
        <v>320</v>
      </c>
    </row>
    <row r="821" spans="1:14" x14ac:dyDescent="0.25">
      <c r="A821" s="18">
        <v>45978</v>
      </c>
      <c r="B821" t="s">
        <v>319</v>
      </c>
      <c r="C821" t="s">
        <v>484</v>
      </c>
      <c r="D821" t="s">
        <v>30</v>
      </c>
      <c r="E821" t="s">
        <v>31</v>
      </c>
      <c r="F821" t="s">
        <v>21</v>
      </c>
      <c r="G821">
        <v>-690</v>
      </c>
      <c r="H821">
        <v>144.4631</v>
      </c>
      <c r="I821">
        <v>99679.539000000004</v>
      </c>
      <c r="K821">
        <v>144.4631</v>
      </c>
      <c r="L821">
        <v>99679.539000000004</v>
      </c>
      <c r="M821" t="s">
        <v>30</v>
      </c>
      <c r="N821" t="s">
        <v>484</v>
      </c>
    </row>
    <row r="822" spans="1:14" x14ac:dyDescent="0.25">
      <c r="A822" s="18">
        <v>45978</v>
      </c>
      <c r="B822" t="s">
        <v>319</v>
      </c>
      <c r="C822" t="s">
        <v>290</v>
      </c>
      <c r="D822" t="s">
        <v>45</v>
      </c>
      <c r="E822" t="s">
        <v>46</v>
      </c>
      <c r="F822" t="s">
        <v>21</v>
      </c>
      <c r="G822">
        <v>-2307</v>
      </c>
      <c r="H822">
        <v>43.56</v>
      </c>
      <c r="I822">
        <v>100492.92</v>
      </c>
      <c r="K822">
        <v>43.56</v>
      </c>
      <c r="L822">
        <v>100492.92</v>
      </c>
      <c r="M822" t="s">
        <v>45</v>
      </c>
      <c r="N822" t="s">
        <v>290</v>
      </c>
    </row>
    <row r="823" spans="1:14" x14ac:dyDescent="0.25">
      <c r="A823" s="18">
        <v>45978</v>
      </c>
      <c r="B823" t="s">
        <v>289</v>
      </c>
      <c r="C823" t="s">
        <v>493</v>
      </c>
      <c r="D823" t="s">
        <v>28</v>
      </c>
      <c r="E823" t="s">
        <v>29</v>
      </c>
      <c r="F823" t="s">
        <v>21</v>
      </c>
      <c r="G823">
        <v>675</v>
      </c>
      <c r="H823">
        <v>233.06790000000001</v>
      </c>
      <c r="I823">
        <v>-157320.83250000002</v>
      </c>
      <c r="K823">
        <v>233.06790000000004</v>
      </c>
      <c r="L823">
        <v>-157320.83250000002</v>
      </c>
      <c r="M823" t="s">
        <v>28</v>
      </c>
      <c r="N823" t="s">
        <v>493</v>
      </c>
    </row>
    <row r="824" spans="1:14" x14ac:dyDescent="0.25">
      <c r="A824" s="18">
        <v>45978</v>
      </c>
      <c r="B824" t="s">
        <v>319</v>
      </c>
      <c r="C824" t="s">
        <v>311</v>
      </c>
      <c r="D824" t="s">
        <v>312</v>
      </c>
      <c r="E824" t="s">
        <v>313</v>
      </c>
      <c r="F824" t="s">
        <v>21</v>
      </c>
      <c r="G824">
        <v>-407</v>
      </c>
      <c r="H824">
        <v>307.0521</v>
      </c>
      <c r="I824">
        <v>124970.2047</v>
      </c>
      <c r="K824">
        <v>307.0521</v>
      </c>
      <c r="L824">
        <v>124970.2047</v>
      </c>
      <c r="M824" t="s">
        <v>312</v>
      </c>
      <c r="N824" t="s">
        <v>311</v>
      </c>
    </row>
    <row r="825" spans="1:14" x14ac:dyDescent="0.25">
      <c r="A825" s="18">
        <v>45978</v>
      </c>
      <c r="B825" t="s">
        <v>319</v>
      </c>
      <c r="C825" t="s">
        <v>358</v>
      </c>
      <c r="D825" t="s">
        <v>359</v>
      </c>
      <c r="E825" t="s">
        <v>360</v>
      </c>
      <c r="F825" t="s">
        <v>21</v>
      </c>
      <c r="G825">
        <v>-5285</v>
      </c>
      <c r="H825">
        <v>18.7759</v>
      </c>
      <c r="I825">
        <v>99230.631500000003</v>
      </c>
      <c r="K825">
        <v>18.7759</v>
      </c>
      <c r="L825">
        <v>99230.631500000003</v>
      </c>
      <c r="M825" t="s">
        <v>359</v>
      </c>
      <c r="N825" t="s">
        <v>358</v>
      </c>
    </row>
    <row r="826" spans="1:14" x14ac:dyDescent="0.25">
      <c r="A826" s="18">
        <v>45978</v>
      </c>
      <c r="B826" t="s">
        <v>319</v>
      </c>
      <c r="C826" t="s">
        <v>404</v>
      </c>
      <c r="D826" t="s">
        <v>405</v>
      </c>
      <c r="E826" t="s">
        <v>261</v>
      </c>
      <c r="F826" t="s">
        <v>21</v>
      </c>
      <c r="G826">
        <v>-911</v>
      </c>
      <c r="H826">
        <v>32.25</v>
      </c>
      <c r="I826">
        <v>29379.75</v>
      </c>
      <c r="K826">
        <v>32.25</v>
      </c>
      <c r="L826">
        <v>29379.75</v>
      </c>
      <c r="M826" t="s">
        <v>405</v>
      </c>
      <c r="N826" t="s">
        <v>404</v>
      </c>
    </row>
    <row r="827" spans="1:14" x14ac:dyDescent="0.25">
      <c r="A827" s="18">
        <v>45978</v>
      </c>
      <c r="B827" t="s">
        <v>289</v>
      </c>
      <c r="C827" t="s">
        <v>557</v>
      </c>
      <c r="D827" t="s">
        <v>558</v>
      </c>
      <c r="E827" t="s">
        <v>559</v>
      </c>
      <c r="F827" t="s">
        <v>21</v>
      </c>
      <c r="G827">
        <v>2</v>
      </c>
      <c r="H827">
        <v>5652</v>
      </c>
      <c r="I827">
        <v>-113040</v>
      </c>
      <c r="K827">
        <v>5652</v>
      </c>
      <c r="L827">
        <v>-113040</v>
      </c>
      <c r="M827" t="s">
        <v>558</v>
      </c>
      <c r="N827" t="s">
        <v>557</v>
      </c>
    </row>
    <row r="828" spans="1:14" x14ac:dyDescent="0.25">
      <c r="A828" s="18">
        <v>45978</v>
      </c>
      <c r="B828" t="s">
        <v>319</v>
      </c>
      <c r="C828" t="s">
        <v>619</v>
      </c>
      <c r="D828" t="s">
        <v>620</v>
      </c>
      <c r="E828" t="s">
        <v>621</v>
      </c>
      <c r="F828" t="s">
        <v>21</v>
      </c>
      <c r="G828">
        <v>-628</v>
      </c>
      <c r="H828">
        <v>315.2946</v>
      </c>
      <c r="I828">
        <v>198005.00880000001</v>
      </c>
      <c r="K828">
        <v>315.2946</v>
      </c>
      <c r="L828">
        <v>198005.00880000001</v>
      </c>
      <c r="M828" t="s">
        <v>620</v>
      </c>
      <c r="N828" t="s">
        <v>619</v>
      </c>
    </row>
    <row r="829" spans="1:14" x14ac:dyDescent="0.25">
      <c r="A829" s="18">
        <v>45978</v>
      </c>
      <c r="B829" t="s">
        <v>289</v>
      </c>
      <c r="C829" t="s">
        <v>563</v>
      </c>
      <c r="D829" t="s">
        <v>564</v>
      </c>
      <c r="E829" t="s">
        <v>565</v>
      </c>
      <c r="F829" t="s">
        <v>21</v>
      </c>
      <c r="G829">
        <v>1</v>
      </c>
      <c r="H829">
        <v>23796</v>
      </c>
      <c r="I829">
        <v>-118980</v>
      </c>
      <c r="K829">
        <v>23796</v>
      </c>
      <c r="L829">
        <v>-118980</v>
      </c>
      <c r="M829" t="s">
        <v>564</v>
      </c>
      <c r="N829" t="s">
        <v>563</v>
      </c>
    </row>
    <row r="830" spans="1:14" x14ac:dyDescent="0.25">
      <c r="A830" s="18">
        <v>45978</v>
      </c>
      <c r="B830" t="s">
        <v>289</v>
      </c>
      <c r="C830" t="s">
        <v>563</v>
      </c>
      <c r="D830" t="s">
        <v>564</v>
      </c>
      <c r="E830" t="s">
        <v>565</v>
      </c>
      <c r="F830" t="s">
        <v>21</v>
      </c>
      <c r="G830">
        <v>1</v>
      </c>
      <c r="H830">
        <v>23776</v>
      </c>
      <c r="I830">
        <v>-118880</v>
      </c>
      <c r="K830">
        <v>23776</v>
      </c>
      <c r="L830">
        <v>-118880</v>
      </c>
      <c r="M830" t="s">
        <v>564</v>
      </c>
      <c r="N830" t="s">
        <v>563</v>
      </c>
    </row>
    <row r="831" spans="1:14" x14ac:dyDescent="0.25">
      <c r="A831" s="18">
        <v>45978</v>
      </c>
      <c r="B831" t="s">
        <v>289</v>
      </c>
      <c r="C831" t="s">
        <v>563</v>
      </c>
      <c r="D831" t="s">
        <v>564</v>
      </c>
      <c r="E831" t="s">
        <v>565</v>
      </c>
      <c r="F831" t="s">
        <v>21</v>
      </c>
      <c r="G831">
        <v>1</v>
      </c>
      <c r="H831">
        <v>23626</v>
      </c>
      <c r="I831">
        <v>-118130</v>
      </c>
      <c r="K831">
        <v>23626</v>
      </c>
      <c r="L831">
        <v>-118130</v>
      </c>
      <c r="M831" t="s">
        <v>564</v>
      </c>
      <c r="N831" t="s">
        <v>563</v>
      </c>
    </row>
    <row r="832" spans="1:14" x14ac:dyDescent="0.25">
      <c r="A832" s="18">
        <v>45978</v>
      </c>
      <c r="B832" t="s">
        <v>319</v>
      </c>
      <c r="C832" t="s">
        <v>582</v>
      </c>
      <c r="D832" t="s">
        <v>83</v>
      </c>
      <c r="E832" t="s">
        <v>583</v>
      </c>
      <c r="F832" t="s">
        <v>82</v>
      </c>
      <c r="G832">
        <v>-679</v>
      </c>
      <c r="H832">
        <v>170.15</v>
      </c>
      <c r="I832">
        <v>115531.85</v>
      </c>
      <c r="K832">
        <v>170.15</v>
      </c>
      <c r="L832">
        <v>115531.85</v>
      </c>
      <c r="M832" t="s">
        <v>83</v>
      </c>
      <c r="N832" t="s">
        <v>582</v>
      </c>
    </row>
    <row r="833" spans="1:14" x14ac:dyDescent="0.25">
      <c r="A833" s="18">
        <v>45978</v>
      </c>
      <c r="B833" t="s">
        <v>319</v>
      </c>
      <c r="C833" t="s">
        <v>582</v>
      </c>
      <c r="D833" t="s">
        <v>83</v>
      </c>
      <c r="E833" t="s">
        <v>583</v>
      </c>
      <c r="F833" t="s">
        <v>82</v>
      </c>
      <c r="G833">
        <v>-540</v>
      </c>
      <c r="H833">
        <v>169.6</v>
      </c>
      <c r="I833">
        <v>91584</v>
      </c>
      <c r="K833">
        <v>169.6</v>
      </c>
      <c r="L833">
        <v>91584</v>
      </c>
      <c r="M833" t="s">
        <v>83</v>
      </c>
      <c r="N833" t="s">
        <v>582</v>
      </c>
    </row>
    <row r="834" spans="1:14" x14ac:dyDescent="0.25">
      <c r="A834" s="18">
        <v>45978</v>
      </c>
      <c r="B834" t="s">
        <v>289</v>
      </c>
      <c r="C834" t="s">
        <v>605</v>
      </c>
      <c r="D834" t="s">
        <v>606</v>
      </c>
      <c r="E834" t="s">
        <v>607</v>
      </c>
      <c r="F834" t="s">
        <v>21</v>
      </c>
      <c r="G834">
        <v>1</v>
      </c>
      <c r="H834">
        <v>8140</v>
      </c>
      <c r="I834">
        <v>-81400</v>
      </c>
      <c r="K834">
        <v>8140</v>
      </c>
      <c r="L834">
        <v>-81400</v>
      </c>
      <c r="M834" t="s">
        <v>606</v>
      </c>
      <c r="N834" t="s">
        <v>605</v>
      </c>
    </row>
    <row r="835" spans="1:14" x14ac:dyDescent="0.25">
      <c r="A835" s="18">
        <v>45978</v>
      </c>
      <c r="B835" t="s">
        <v>319</v>
      </c>
      <c r="C835" t="s">
        <v>633</v>
      </c>
      <c r="D835" t="s">
        <v>634</v>
      </c>
      <c r="E835" t="s">
        <v>281</v>
      </c>
      <c r="F835" t="s">
        <v>21</v>
      </c>
      <c r="G835">
        <v>-3000</v>
      </c>
      <c r="H835">
        <v>41.88</v>
      </c>
      <c r="I835">
        <v>125640.00000000001</v>
      </c>
      <c r="K835">
        <v>41.88</v>
      </c>
      <c r="L835">
        <v>125640.00000000001</v>
      </c>
      <c r="M835" t="s">
        <v>634</v>
      </c>
      <c r="N835" t="s">
        <v>633</v>
      </c>
    </row>
    <row r="836" spans="1:14" x14ac:dyDescent="0.25">
      <c r="A836" s="18">
        <v>45978</v>
      </c>
      <c r="B836" t="s">
        <v>319</v>
      </c>
      <c r="C836" t="s">
        <v>584</v>
      </c>
      <c r="D836" t="s">
        <v>585</v>
      </c>
      <c r="E836" t="s">
        <v>586</v>
      </c>
      <c r="F836" t="s">
        <v>36</v>
      </c>
      <c r="G836">
        <v>-490</v>
      </c>
      <c r="H836">
        <v>135.5</v>
      </c>
      <c r="I836">
        <v>66395</v>
      </c>
      <c r="K836">
        <v>135.5</v>
      </c>
      <c r="L836">
        <v>66395</v>
      </c>
      <c r="M836" t="s">
        <v>585</v>
      </c>
      <c r="N836" t="s">
        <v>584</v>
      </c>
    </row>
    <row r="837" spans="1:14" x14ac:dyDescent="0.25">
      <c r="A837" s="18">
        <v>45978</v>
      </c>
      <c r="B837" t="s">
        <v>319</v>
      </c>
      <c r="C837" t="s">
        <v>510</v>
      </c>
      <c r="D837" t="s">
        <v>511</v>
      </c>
      <c r="E837" t="s">
        <v>512</v>
      </c>
      <c r="F837" t="s">
        <v>162</v>
      </c>
      <c r="G837">
        <v>-9838</v>
      </c>
      <c r="H837">
        <v>354.55</v>
      </c>
      <c r="I837">
        <v>3488062.9</v>
      </c>
      <c r="K837">
        <v>354.55</v>
      </c>
      <c r="L837">
        <v>3488062.9</v>
      </c>
      <c r="M837" t="s">
        <v>511</v>
      </c>
      <c r="N837" t="s">
        <v>510</v>
      </c>
    </row>
    <row r="838" spans="1:14" x14ac:dyDescent="0.25">
      <c r="A838" s="18">
        <v>45979</v>
      </c>
      <c r="B838" t="s">
        <v>289</v>
      </c>
      <c r="C838" t="s">
        <v>477</v>
      </c>
      <c r="D838" t="s">
        <v>478</v>
      </c>
      <c r="E838" t="s">
        <v>277</v>
      </c>
      <c r="F838" t="s">
        <v>157</v>
      </c>
      <c r="G838">
        <v>4799</v>
      </c>
      <c r="H838">
        <v>152.92500000000001</v>
      </c>
      <c r="I838">
        <v>-733887.07500000007</v>
      </c>
      <c r="K838">
        <v>152.92500000000001</v>
      </c>
      <c r="L838">
        <v>-733887.07500000007</v>
      </c>
      <c r="M838" t="s">
        <v>478</v>
      </c>
      <c r="N838" t="s">
        <v>477</v>
      </c>
    </row>
    <row r="839" spans="1:14" x14ac:dyDescent="0.25">
      <c r="A839" s="18">
        <v>45979</v>
      </c>
      <c r="B839" t="s">
        <v>319</v>
      </c>
      <c r="C839" t="s">
        <v>484</v>
      </c>
      <c r="D839" t="s">
        <v>30</v>
      </c>
      <c r="E839" t="s">
        <v>31</v>
      </c>
      <c r="F839" t="s">
        <v>21</v>
      </c>
      <c r="G839">
        <v>-1040</v>
      </c>
      <c r="H839">
        <v>141.91999999999999</v>
      </c>
      <c r="I839">
        <v>147596.79999999999</v>
      </c>
      <c r="K839">
        <v>141.91999999999999</v>
      </c>
      <c r="L839">
        <v>147596.79999999999</v>
      </c>
      <c r="M839" t="s">
        <v>30</v>
      </c>
      <c r="N839" t="s">
        <v>484</v>
      </c>
    </row>
    <row r="840" spans="1:14" x14ac:dyDescent="0.25">
      <c r="A840" s="18">
        <v>45979</v>
      </c>
      <c r="B840" t="s">
        <v>289</v>
      </c>
      <c r="C840" t="s">
        <v>436</v>
      </c>
      <c r="D840" t="s">
        <v>437</v>
      </c>
      <c r="E840" t="s">
        <v>262</v>
      </c>
      <c r="F840" t="s">
        <v>21</v>
      </c>
      <c r="G840">
        <v>3100</v>
      </c>
      <c r="H840">
        <v>31.17</v>
      </c>
      <c r="I840">
        <v>-96627</v>
      </c>
      <c r="K840">
        <v>31.17</v>
      </c>
      <c r="L840">
        <v>-96627</v>
      </c>
      <c r="M840" t="s">
        <v>437</v>
      </c>
      <c r="N840" t="s">
        <v>436</v>
      </c>
    </row>
    <row r="841" spans="1:14" x14ac:dyDescent="0.25">
      <c r="A841" s="18">
        <v>45979</v>
      </c>
      <c r="B841" t="s">
        <v>319</v>
      </c>
      <c r="C841" t="s">
        <v>358</v>
      </c>
      <c r="D841" t="s">
        <v>359</v>
      </c>
      <c r="E841" t="s">
        <v>360</v>
      </c>
      <c r="F841" t="s">
        <v>21</v>
      </c>
      <c r="G841">
        <v>-10629</v>
      </c>
      <c r="H841">
        <v>18.420000000000002</v>
      </c>
      <c r="I841">
        <v>195786.18000000002</v>
      </c>
      <c r="K841">
        <v>18.420000000000002</v>
      </c>
      <c r="L841">
        <v>195786.18000000002</v>
      </c>
      <c r="M841" t="s">
        <v>359</v>
      </c>
      <c r="N841" t="s">
        <v>358</v>
      </c>
    </row>
    <row r="842" spans="1:14" x14ac:dyDescent="0.25">
      <c r="A842" s="18">
        <v>45979</v>
      </c>
      <c r="B842" t="s">
        <v>289</v>
      </c>
      <c r="C842" t="s">
        <v>635</v>
      </c>
      <c r="D842" t="s">
        <v>636</v>
      </c>
      <c r="E842" t="s">
        <v>637</v>
      </c>
      <c r="F842" t="s">
        <v>21</v>
      </c>
      <c r="G842">
        <v>782</v>
      </c>
      <c r="H842">
        <v>64.099999999999994</v>
      </c>
      <c r="I842">
        <v>-50126.2</v>
      </c>
      <c r="K842">
        <v>64.099999999999994</v>
      </c>
      <c r="L842">
        <v>-50126.2</v>
      </c>
      <c r="M842" t="s">
        <v>636</v>
      </c>
      <c r="N842" t="s">
        <v>635</v>
      </c>
    </row>
    <row r="843" spans="1:14" x14ac:dyDescent="0.25">
      <c r="A843" s="18">
        <v>45979</v>
      </c>
      <c r="B843" t="s">
        <v>289</v>
      </c>
      <c r="C843" t="s">
        <v>635</v>
      </c>
      <c r="D843" t="s">
        <v>636</v>
      </c>
      <c r="E843" t="s">
        <v>637</v>
      </c>
      <c r="F843" t="s">
        <v>21</v>
      </c>
      <c r="G843">
        <v>1510</v>
      </c>
      <c r="H843">
        <v>64.06</v>
      </c>
      <c r="I843">
        <v>-96730.6</v>
      </c>
      <c r="K843">
        <v>64.06</v>
      </c>
      <c r="L843">
        <v>-96730.6</v>
      </c>
      <c r="M843" t="s">
        <v>636</v>
      </c>
      <c r="N843" t="s">
        <v>635</v>
      </c>
    </row>
    <row r="844" spans="1:14" x14ac:dyDescent="0.25">
      <c r="A844" s="18">
        <v>45979</v>
      </c>
      <c r="B844" t="s">
        <v>319</v>
      </c>
      <c r="C844" t="s">
        <v>578</v>
      </c>
      <c r="D844" t="s">
        <v>74</v>
      </c>
      <c r="E844" t="s">
        <v>75</v>
      </c>
      <c r="F844" t="s">
        <v>36</v>
      </c>
      <c r="G844">
        <v>-39245</v>
      </c>
      <c r="H844">
        <v>1.79</v>
      </c>
      <c r="I844">
        <v>70248.55</v>
      </c>
      <c r="K844">
        <v>1.79</v>
      </c>
      <c r="L844">
        <v>70248.55</v>
      </c>
      <c r="M844" t="s">
        <v>74</v>
      </c>
      <c r="N844" t="s">
        <v>578</v>
      </c>
    </row>
    <row r="845" spans="1:14" x14ac:dyDescent="0.25">
      <c r="A845" s="18">
        <v>45979</v>
      </c>
      <c r="B845" t="s">
        <v>319</v>
      </c>
      <c r="C845" t="s">
        <v>435</v>
      </c>
      <c r="D845" t="s">
        <v>99</v>
      </c>
      <c r="E845" t="s">
        <v>100</v>
      </c>
      <c r="F845" t="s">
        <v>21</v>
      </c>
      <c r="G845">
        <v>-17130</v>
      </c>
      <c r="H845">
        <v>8.75</v>
      </c>
      <c r="I845">
        <v>149887.5</v>
      </c>
      <c r="K845">
        <v>8.75</v>
      </c>
      <c r="L845">
        <v>149887.5</v>
      </c>
      <c r="M845" t="s">
        <v>99</v>
      </c>
      <c r="N845" t="s">
        <v>435</v>
      </c>
    </row>
    <row r="846" spans="1:14" x14ac:dyDescent="0.25">
      <c r="A846" s="18">
        <v>45979</v>
      </c>
      <c r="B846" t="s">
        <v>319</v>
      </c>
      <c r="C846" t="s">
        <v>536</v>
      </c>
      <c r="D846" t="s">
        <v>537</v>
      </c>
      <c r="E846" t="s">
        <v>538</v>
      </c>
      <c r="F846" t="s">
        <v>21</v>
      </c>
      <c r="G846">
        <v>-4610</v>
      </c>
      <c r="H846">
        <v>71</v>
      </c>
      <c r="I846">
        <v>327310</v>
      </c>
      <c r="K846">
        <v>71</v>
      </c>
      <c r="L846">
        <v>327310</v>
      </c>
      <c r="M846" t="s">
        <v>537</v>
      </c>
      <c r="N846" t="s">
        <v>536</v>
      </c>
    </row>
    <row r="847" spans="1:14" x14ac:dyDescent="0.25">
      <c r="A847" s="18">
        <v>45979</v>
      </c>
      <c r="B847" t="s">
        <v>289</v>
      </c>
      <c r="C847" t="s">
        <v>563</v>
      </c>
      <c r="D847" t="s">
        <v>564</v>
      </c>
      <c r="E847" t="s">
        <v>565</v>
      </c>
      <c r="F847" t="s">
        <v>21</v>
      </c>
      <c r="G847">
        <v>1</v>
      </c>
      <c r="H847">
        <v>23288</v>
      </c>
      <c r="I847">
        <v>-116440</v>
      </c>
      <c r="K847">
        <v>23288</v>
      </c>
      <c r="L847">
        <v>-116440</v>
      </c>
      <c r="M847" t="s">
        <v>564</v>
      </c>
      <c r="N847" t="s">
        <v>563</v>
      </c>
    </row>
    <row r="848" spans="1:14" x14ac:dyDescent="0.25">
      <c r="A848" s="18">
        <v>45979</v>
      </c>
      <c r="B848" t="s">
        <v>289</v>
      </c>
      <c r="C848" t="s">
        <v>342</v>
      </c>
      <c r="D848" t="s">
        <v>343</v>
      </c>
      <c r="E848" t="s">
        <v>282</v>
      </c>
      <c r="F848" t="s">
        <v>21</v>
      </c>
      <c r="G848">
        <v>1830</v>
      </c>
      <c r="H848">
        <v>79.92</v>
      </c>
      <c r="I848">
        <v>-146253.6</v>
      </c>
      <c r="K848">
        <v>79.92</v>
      </c>
      <c r="L848">
        <v>-146253.6</v>
      </c>
      <c r="M848" t="s">
        <v>343</v>
      </c>
      <c r="N848" t="s">
        <v>342</v>
      </c>
    </row>
    <row r="849" spans="1:14" x14ac:dyDescent="0.25">
      <c r="A849" s="18">
        <v>45979</v>
      </c>
      <c r="B849" t="s">
        <v>319</v>
      </c>
      <c r="C849" t="s">
        <v>311</v>
      </c>
      <c r="D849" t="s">
        <v>312</v>
      </c>
      <c r="E849" t="s">
        <v>313</v>
      </c>
      <c r="F849" t="s">
        <v>21</v>
      </c>
      <c r="G849">
        <v>-490</v>
      </c>
      <c r="H849">
        <v>303.85000000000002</v>
      </c>
      <c r="I849">
        <v>148886.5</v>
      </c>
      <c r="K849">
        <v>303.85000000000002</v>
      </c>
      <c r="L849">
        <v>148886.5</v>
      </c>
      <c r="M849" t="s">
        <v>312</v>
      </c>
      <c r="N849" t="s">
        <v>311</v>
      </c>
    </row>
    <row r="850" spans="1:14" x14ac:dyDescent="0.25">
      <c r="A850" s="18">
        <v>45979</v>
      </c>
      <c r="B850" t="s">
        <v>319</v>
      </c>
      <c r="C850" t="s">
        <v>599</v>
      </c>
      <c r="D850" t="s">
        <v>600</v>
      </c>
      <c r="E850" t="s">
        <v>601</v>
      </c>
      <c r="F850" t="s">
        <v>21</v>
      </c>
      <c r="G850">
        <v>-393</v>
      </c>
      <c r="H850">
        <v>349.43</v>
      </c>
      <c r="I850">
        <v>137325.99</v>
      </c>
      <c r="K850">
        <v>349.42999999999995</v>
      </c>
      <c r="L850">
        <v>137325.99</v>
      </c>
      <c r="M850" t="s">
        <v>600</v>
      </c>
      <c r="N850" t="s">
        <v>599</v>
      </c>
    </row>
    <row r="851" spans="1:14" x14ac:dyDescent="0.25">
      <c r="A851" s="18">
        <v>45979</v>
      </c>
      <c r="B851" t="s">
        <v>289</v>
      </c>
      <c r="C851" t="s">
        <v>328</v>
      </c>
      <c r="D851" t="s">
        <v>329</v>
      </c>
      <c r="E851" t="s">
        <v>330</v>
      </c>
      <c r="F851" t="s">
        <v>21</v>
      </c>
      <c r="G851">
        <v>58</v>
      </c>
      <c r="H851">
        <v>1725.5</v>
      </c>
      <c r="I851">
        <v>-100079</v>
      </c>
      <c r="K851">
        <v>1725.5</v>
      </c>
      <c r="L851">
        <v>-100079</v>
      </c>
      <c r="M851" t="s">
        <v>329</v>
      </c>
      <c r="N851" t="s">
        <v>328</v>
      </c>
    </row>
    <row r="852" spans="1:14" x14ac:dyDescent="0.25">
      <c r="A852" s="18">
        <v>45980</v>
      </c>
      <c r="B852" t="s">
        <v>289</v>
      </c>
      <c r="C852" t="s">
        <v>630</v>
      </c>
      <c r="D852" t="s">
        <v>631</v>
      </c>
      <c r="E852" t="s">
        <v>632</v>
      </c>
      <c r="F852" t="s">
        <v>21</v>
      </c>
      <c r="G852">
        <v>81300</v>
      </c>
      <c r="H852">
        <v>2.5282</v>
      </c>
      <c r="I852">
        <v>-205542.66</v>
      </c>
      <c r="K852">
        <v>2.5282</v>
      </c>
      <c r="L852">
        <v>-205542.66</v>
      </c>
      <c r="M852" t="s">
        <v>631</v>
      </c>
      <c r="N852" t="s">
        <v>630</v>
      </c>
    </row>
    <row r="853" spans="1:14" x14ac:dyDescent="0.25">
      <c r="A853" s="18">
        <v>45980</v>
      </c>
      <c r="B853" t="s">
        <v>289</v>
      </c>
      <c r="C853" t="s">
        <v>630</v>
      </c>
      <c r="D853" t="s">
        <v>631</v>
      </c>
      <c r="E853" t="s">
        <v>632</v>
      </c>
      <c r="F853" t="s">
        <v>21</v>
      </c>
      <c r="G853">
        <v>40160</v>
      </c>
      <c r="H853">
        <v>2.4754999999999998</v>
      </c>
      <c r="I853">
        <v>-99416.079999999987</v>
      </c>
      <c r="K853">
        <v>2.4754999999999998</v>
      </c>
      <c r="L853">
        <v>-99416.079999999987</v>
      </c>
      <c r="M853" t="s">
        <v>631</v>
      </c>
      <c r="N853" t="s">
        <v>630</v>
      </c>
    </row>
    <row r="854" spans="1:14" x14ac:dyDescent="0.25">
      <c r="A854" s="18">
        <v>45980</v>
      </c>
      <c r="B854" t="s">
        <v>319</v>
      </c>
      <c r="C854" t="s">
        <v>630</v>
      </c>
      <c r="D854" t="s">
        <v>631</v>
      </c>
      <c r="E854" t="s">
        <v>632</v>
      </c>
      <c r="F854" t="s">
        <v>21</v>
      </c>
      <c r="G854">
        <v>-100440</v>
      </c>
      <c r="H854">
        <v>2.5085000000000002</v>
      </c>
      <c r="I854">
        <v>251953.74000000002</v>
      </c>
      <c r="K854">
        <v>2.5085000000000002</v>
      </c>
      <c r="L854">
        <v>251953.74000000002</v>
      </c>
      <c r="M854" t="s">
        <v>631</v>
      </c>
      <c r="N854" t="s">
        <v>630</v>
      </c>
    </row>
    <row r="855" spans="1:14" x14ac:dyDescent="0.25">
      <c r="A855" s="18">
        <v>45980</v>
      </c>
      <c r="B855" t="s">
        <v>289</v>
      </c>
      <c r="C855" t="s">
        <v>625</v>
      </c>
      <c r="D855" t="s">
        <v>626</v>
      </c>
      <c r="E855" t="s">
        <v>627</v>
      </c>
      <c r="F855" t="s">
        <v>21</v>
      </c>
      <c r="G855">
        <v>700</v>
      </c>
      <c r="H855">
        <v>110</v>
      </c>
      <c r="I855">
        <v>-77000</v>
      </c>
      <c r="K855">
        <v>110</v>
      </c>
      <c r="L855">
        <v>-77000</v>
      </c>
      <c r="M855" t="s">
        <v>626</v>
      </c>
      <c r="N855" t="s">
        <v>625</v>
      </c>
    </row>
    <row r="856" spans="1:14" x14ac:dyDescent="0.25">
      <c r="A856" s="18">
        <v>45980</v>
      </c>
      <c r="B856" t="s">
        <v>289</v>
      </c>
      <c r="C856" t="s">
        <v>638</v>
      </c>
      <c r="D856" t="s">
        <v>639</v>
      </c>
      <c r="E856" t="s">
        <v>640</v>
      </c>
      <c r="F856" t="s">
        <v>49</v>
      </c>
      <c r="G856">
        <v>259</v>
      </c>
      <c r="H856">
        <v>306.78140000000002</v>
      </c>
      <c r="I856">
        <v>-79456.382600000012</v>
      </c>
      <c r="K856">
        <v>306.78140000000002</v>
      </c>
      <c r="L856">
        <v>-79456.382600000012</v>
      </c>
      <c r="M856" t="s">
        <v>639</v>
      </c>
      <c r="N856" t="s">
        <v>638</v>
      </c>
    </row>
    <row r="857" spans="1:14" x14ac:dyDescent="0.25">
      <c r="A857" s="18">
        <v>45980</v>
      </c>
      <c r="B857" t="s">
        <v>319</v>
      </c>
      <c r="C857" t="s">
        <v>328</v>
      </c>
      <c r="D857" t="s">
        <v>329</v>
      </c>
      <c r="E857" t="s">
        <v>330</v>
      </c>
      <c r="F857" t="s">
        <v>21</v>
      </c>
      <c r="G857">
        <v>-87</v>
      </c>
      <c r="H857">
        <v>1603</v>
      </c>
      <c r="I857">
        <v>139461</v>
      </c>
      <c r="K857">
        <v>1603</v>
      </c>
      <c r="L857">
        <v>139461</v>
      </c>
      <c r="M857" t="s">
        <v>329</v>
      </c>
      <c r="N857" t="s">
        <v>328</v>
      </c>
    </row>
    <row r="858" spans="1:14" x14ac:dyDescent="0.25">
      <c r="A858" s="18">
        <v>45980</v>
      </c>
      <c r="B858" t="s">
        <v>289</v>
      </c>
      <c r="C858" t="s">
        <v>641</v>
      </c>
      <c r="D858" t="s">
        <v>37</v>
      </c>
      <c r="E858" t="s">
        <v>38</v>
      </c>
      <c r="F858" t="s">
        <v>36</v>
      </c>
      <c r="G858">
        <v>4341</v>
      </c>
      <c r="H858">
        <v>30.31</v>
      </c>
      <c r="I858">
        <v>-131575.71</v>
      </c>
      <c r="K858">
        <v>30.31</v>
      </c>
      <c r="L858">
        <v>-131575.71</v>
      </c>
      <c r="M858" t="s">
        <v>37</v>
      </c>
      <c r="N858" t="s">
        <v>641</v>
      </c>
    </row>
    <row r="859" spans="1:14" x14ac:dyDescent="0.25">
      <c r="A859" s="18">
        <v>45980</v>
      </c>
      <c r="B859" t="s">
        <v>289</v>
      </c>
      <c r="C859" t="s">
        <v>291</v>
      </c>
      <c r="D859" t="s">
        <v>292</v>
      </c>
      <c r="E859" t="s">
        <v>293</v>
      </c>
      <c r="F859" t="s">
        <v>21</v>
      </c>
      <c r="G859">
        <v>168920</v>
      </c>
      <c r="H859">
        <v>1.4350000000000001</v>
      </c>
      <c r="I859">
        <v>-242400.2</v>
      </c>
      <c r="K859">
        <v>1.4350000000000001</v>
      </c>
      <c r="L859">
        <v>-242400.2</v>
      </c>
      <c r="M859" t="s">
        <v>292</v>
      </c>
      <c r="N859" t="s">
        <v>291</v>
      </c>
    </row>
    <row r="860" spans="1:14" x14ac:dyDescent="0.25">
      <c r="A860" s="18">
        <v>45980</v>
      </c>
      <c r="B860" t="s">
        <v>289</v>
      </c>
      <c r="C860" t="s">
        <v>358</v>
      </c>
      <c r="D860" t="s">
        <v>359</v>
      </c>
      <c r="E860" t="s">
        <v>360</v>
      </c>
      <c r="F860" t="s">
        <v>21</v>
      </c>
      <c r="G860">
        <v>5460</v>
      </c>
      <c r="H860">
        <v>18.610299999999999</v>
      </c>
      <c r="I860">
        <v>-101612.238</v>
      </c>
      <c r="K860">
        <v>18.610299999999999</v>
      </c>
      <c r="L860">
        <v>-101612.238</v>
      </c>
      <c r="M860" t="s">
        <v>359</v>
      </c>
      <c r="N860" t="s">
        <v>358</v>
      </c>
    </row>
    <row r="861" spans="1:14" x14ac:dyDescent="0.25">
      <c r="A861" s="18">
        <v>45980</v>
      </c>
      <c r="B861" t="s">
        <v>289</v>
      </c>
      <c r="C861" t="s">
        <v>318</v>
      </c>
      <c r="D861" t="s">
        <v>22</v>
      </c>
      <c r="E861" t="s">
        <v>23</v>
      </c>
      <c r="F861" t="s">
        <v>21</v>
      </c>
      <c r="G861">
        <v>5700</v>
      </c>
      <c r="H861">
        <v>22.63</v>
      </c>
      <c r="I861">
        <v>-128991</v>
      </c>
      <c r="K861">
        <v>22.63</v>
      </c>
      <c r="L861">
        <v>-128991</v>
      </c>
      <c r="M861" t="s">
        <v>22</v>
      </c>
      <c r="N861" t="s">
        <v>318</v>
      </c>
    </row>
    <row r="862" spans="1:14" x14ac:dyDescent="0.25">
      <c r="A862" s="18">
        <v>45980</v>
      </c>
      <c r="B862" t="s">
        <v>289</v>
      </c>
      <c r="C862" t="s">
        <v>602</v>
      </c>
      <c r="D862" t="s">
        <v>603</v>
      </c>
      <c r="E862" t="s">
        <v>604</v>
      </c>
      <c r="F862" t="s">
        <v>21</v>
      </c>
      <c r="G862">
        <v>2</v>
      </c>
      <c r="H862">
        <v>15816</v>
      </c>
      <c r="I862">
        <v>-316320</v>
      </c>
      <c r="K862">
        <v>15816</v>
      </c>
      <c r="L862">
        <v>-316320</v>
      </c>
      <c r="M862" t="s">
        <v>603</v>
      </c>
      <c r="N862" t="s">
        <v>602</v>
      </c>
    </row>
    <row r="863" spans="1:14" x14ac:dyDescent="0.25">
      <c r="A863" s="18">
        <v>45980</v>
      </c>
      <c r="B863" t="s">
        <v>319</v>
      </c>
      <c r="C863" t="s">
        <v>642</v>
      </c>
      <c r="D863" t="s">
        <v>643</v>
      </c>
      <c r="E863" t="s">
        <v>644</v>
      </c>
      <c r="F863" t="s">
        <v>21</v>
      </c>
      <c r="G863">
        <v>-2</v>
      </c>
      <c r="H863">
        <v>15819</v>
      </c>
      <c r="I863">
        <v>316380</v>
      </c>
      <c r="K863">
        <v>15819</v>
      </c>
      <c r="L863">
        <v>316380</v>
      </c>
      <c r="M863" t="s">
        <v>643</v>
      </c>
      <c r="N863" t="s">
        <v>642</v>
      </c>
    </row>
    <row r="864" spans="1:14" x14ac:dyDescent="0.25">
      <c r="A864" s="18">
        <v>45980</v>
      </c>
      <c r="B864" t="s">
        <v>289</v>
      </c>
      <c r="C864" t="s">
        <v>578</v>
      </c>
      <c r="D864" t="s">
        <v>74</v>
      </c>
      <c r="E864" t="s">
        <v>75</v>
      </c>
      <c r="F864" t="s">
        <v>36</v>
      </c>
      <c r="G864">
        <v>48400</v>
      </c>
      <c r="H864">
        <v>1.8255999999999999</v>
      </c>
      <c r="I864">
        <v>-88359.039999999994</v>
      </c>
      <c r="K864">
        <v>1.8255999999999999</v>
      </c>
      <c r="L864">
        <v>-88359.039999999994</v>
      </c>
      <c r="M864" t="s">
        <v>74</v>
      </c>
      <c r="N864" t="s">
        <v>578</v>
      </c>
    </row>
    <row r="865" spans="1:14" x14ac:dyDescent="0.25">
      <c r="A865" s="18">
        <v>45980</v>
      </c>
      <c r="B865" t="s">
        <v>289</v>
      </c>
      <c r="C865" t="s">
        <v>527</v>
      </c>
      <c r="D865" t="s">
        <v>528</v>
      </c>
      <c r="E865" t="s">
        <v>529</v>
      </c>
      <c r="F865" t="s">
        <v>21</v>
      </c>
      <c r="G865">
        <v>2</v>
      </c>
      <c r="H865">
        <v>128.69</v>
      </c>
      <c r="I865">
        <v>-257380</v>
      </c>
      <c r="K865">
        <v>128.69</v>
      </c>
      <c r="L865">
        <v>-257380</v>
      </c>
      <c r="M865" t="s">
        <v>528</v>
      </c>
      <c r="N865" t="s">
        <v>527</v>
      </c>
    </row>
    <row r="866" spans="1:14" x14ac:dyDescent="0.25">
      <c r="A866" s="18">
        <v>45980</v>
      </c>
      <c r="B866" t="s">
        <v>289</v>
      </c>
      <c r="C866" t="s">
        <v>605</v>
      </c>
      <c r="D866" t="s">
        <v>606</v>
      </c>
      <c r="E866" t="s">
        <v>607</v>
      </c>
      <c r="F866" t="s">
        <v>21</v>
      </c>
      <c r="G866">
        <v>12</v>
      </c>
      <c r="H866">
        <v>7951.8</v>
      </c>
      <c r="I866">
        <v>-954216</v>
      </c>
      <c r="K866">
        <v>7951.8</v>
      </c>
      <c r="L866">
        <v>-954216</v>
      </c>
      <c r="M866" t="s">
        <v>606</v>
      </c>
      <c r="N866" t="s">
        <v>605</v>
      </c>
    </row>
    <row r="867" spans="1:14" x14ac:dyDescent="0.25">
      <c r="A867" s="18">
        <v>45980</v>
      </c>
      <c r="B867" t="s">
        <v>319</v>
      </c>
      <c r="C867" t="s">
        <v>645</v>
      </c>
      <c r="D867" t="s">
        <v>646</v>
      </c>
      <c r="E867" t="s">
        <v>647</v>
      </c>
      <c r="F867" t="s">
        <v>21</v>
      </c>
      <c r="G867">
        <v>-12</v>
      </c>
      <c r="H867">
        <v>7956.8</v>
      </c>
      <c r="I867">
        <v>954816</v>
      </c>
      <c r="K867">
        <v>7956.8</v>
      </c>
      <c r="L867">
        <v>954816</v>
      </c>
      <c r="M867" t="s">
        <v>646</v>
      </c>
      <c r="N867" t="s">
        <v>645</v>
      </c>
    </row>
    <row r="868" spans="1:14" x14ac:dyDescent="0.25">
      <c r="A868" s="18">
        <v>45980</v>
      </c>
      <c r="B868" t="s">
        <v>289</v>
      </c>
      <c r="C868" t="s">
        <v>645</v>
      </c>
      <c r="D868" t="s">
        <v>646</v>
      </c>
      <c r="E868" t="s">
        <v>647</v>
      </c>
      <c r="F868" t="s">
        <v>21</v>
      </c>
      <c r="G868">
        <v>2</v>
      </c>
      <c r="H868">
        <v>8010</v>
      </c>
      <c r="I868">
        <v>-160200</v>
      </c>
      <c r="K868">
        <v>8010</v>
      </c>
      <c r="L868">
        <v>-160200</v>
      </c>
      <c r="M868" t="s">
        <v>646</v>
      </c>
      <c r="N868" t="s">
        <v>645</v>
      </c>
    </row>
    <row r="869" spans="1:14" x14ac:dyDescent="0.25">
      <c r="A869" s="18">
        <v>45981</v>
      </c>
      <c r="B869" t="s">
        <v>289</v>
      </c>
      <c r="C869" t="s">
        <v>484</v>
      </c>
      <c r="D869" t="s">
        <v>30</v>
      </c>
      <c r="E869" t="s">
        <v>31</v>
      </c>
      <c r="F869" t="s">
        <v>21</v>
      </c>
      <c r="G869">
        <v>351</v>
      </c>
      <c r="H869">
        <v>141.60849999999999</v>
      </c>
      <c r="I869">
        <v>-49704.583500000001</v>
      </c>
      <c r="K869">
        <v>141.60849999999999</v>
      </c>
      <c r="L869">
        <v>-49704.583500000001</v>
      </c>
      <c r="M869" t="s">
        <v>30</v>
      </c>
      <c r="N869" t="s">
        <v>484</v>
      </c>
    </row>
    <row r="870" spans="1:14" x14ac:dyDescent="0.25">
      <c r="A870" s="18">
        <v>45981</v>
      </c>
      <c r="B870" t="s">
        <v>319</v>
      </c>
      <c r="C870" t="s">
        <v>328</v>
      </c>
      <c r="D870" t="s">
        <v>329</v>
      </c>
      <c r="E870" t="s">
        <v>330</v>
      </c>
      <c r="F870" t="s">
        <v>21</v>
      </c>
      <c r="G870">
        <v>-94</v>
      </c>
      <c r="H870">
        <v>1635</v>
      </c>
      <c r="I870">
        <v>153690</v>
      </c>
      <c r="K870">
        <v>1635</v>
      </c>
      <c r="L870">
        <v>153690</v>
      </c>
      <c r="M870" t="s">
        <v>329</v>
      </c>
      <c r="N870" t="s">
        <v>328</v>
      </c>
    </row>
    <row r="871" spans="1:14" x14ac:dyDescent="0.25">
      <c r="A871" s="18">
        <v>45981</v>
      </c>
      <c r="B871" t="s">
        <v>319</v>
      </c>
      <c r="C871" t="s">
        <v>328</v>
      </c>
      <c r="D871" t="s">
        <v>329</v>
      </c>
      <c r="E871" t="s">
        <v>330</v>
      </c>
      <c r="F871" t="s">
        <v>21</v>
      </c>
      <c r="G871">
        <v>-58</v>
      </c>
      <c r="H871">
        <v>1655</v>
      </c>
      <c r="I871">
        <v>95990</v>
      </c>
      <c r="K871">
        <v>1655</v>
      </c>
      <c r="L871">
        <v>95990</v>
      </c>
      <c r="M871" t="s">
        <v>329</v>
      </c>
      <c r="N871" t="s">
        <v>328</v>
      </c>
    </row>
    <row r="872" spans="1:14" x14ac:dyDescent="0.25">
      <c r="A872" s="18">
        <v>45981</v>
      </c>
      <c r="B872" t="s">
        <v>289</v>
      </c>
      <c r="C872" t="s">
        <v>482</v>
      </c>
      <c r="D872" t="s">
        <v>483</v>
      </c>
      <c r="E872" t="s">
        <v>269</v>
      </c>
      <c r="F872" t="s">
        <v>49</v>
      </c>
      <c r="G872">
        <v>1689</v>
      </c>
      <c r="H872">
        <v>103.3558</v>
      </c>
      <c r="I872">
        <v>-174567.94620000001</v>
      </c>
      <c r="K872">
        <v>103.3558</v>
      </c>
      <c r="L872">
        <v>-174567.94620000001</v>
      </c>
      <c r="M872" t="s">
        <v>483</v>
      </c>
      <c r="N872" t="s">
        <v>482</v>
      </c>
    </row>
    <row r="873" spans="1:14" x14ac:dyDescent="0.25">
      <c r="A873" s="18">
        <v>45981</v>
      </c>
      <c r="B873" t="s">
        <v>289</v>
      </c>
      <c r="C873" t="s">
        <v>635</v>
      </c>
      <c r="D873" t="s">
        <v>636</v>
      </c>
      <c r="E873" t="s">
        <v>637</v>
      </c>
      <c r="F873" t="s">
        <v>21</v>
      </c>
      <c r="G873">
        <v>2285</v>
      </c>
      <c r="H873">
        <v>67.596000000000004</v>
      </c>
      <c r="I873">
        <v>-154456.86000000002</v>
      </c>
      <c r="K873">
        <v>67.596000000000004</v>
      </c>
      <c r="L873">
        <v>-154456.86000000002</v>
      </c>
      <c r="M873" t="s">
        <v>636</v>
      </c>
      <c r="N873" t="s">
        <v>635</v>
      </c>
    </row>
    <row r="874" spans="1:14" x14ac:dyDescent="0.25">
      <c r="A874" s="18">
        <v>45981</v>
      </c>
      <c r="B874" t="s">
        <v>289</v>
      </c>
      <c r="C874" t="s">
        <v>318</v>
      </c>
      <c r="D874" t="s">
        <v>22</v>
      </c>
      <c r="E874" t="s">
        <v>23</v>
      </c>
      <c r="F874" t="s">
        <v>21</v>
      </c>
      <c r="G874">
        <v>4417</v>
      </c>
      <c r="H874">
        <v>22.740600000000001</v>
      </c>
      <c r="I874">
        <v>-100445.23020000001</v>
      </c>
      <c r="K874">
        <v>22.740600000000001</v>
      </c>
      <c r="L874">
        <v>-100445.23020000001</v>
      </c>
      <c r="M874" t="s">
        <v>22</v>
      </c>
      <c r="N874" t="s">
        <v>318</v>
      </c>
    </row>
    <row r="875" spans="1:14" x14ac:dyDescent="0.25">
      <c r="A875" s="18">
        <v>45981</v>
      </c>
      <c r="B875" t="s">
        <v>289</v>
      </c>
      <c r="C875" t="s">
        <v>318</v>
      </c>
      <c r="D875" t="s">
        <v>22</v>
      </c>
      <c r="E875" t="s">
        <v>23</v>
      </c>
      <c r="F875" t="s">
        <v>21</v>
      </c>
      <c r="G875">
        <v>3309</v>
      </c>
      <c r="H875">
        <v>22.505400000000002</v>
      </c>
      <c r="I875">
        <v>-74470.368600000002</v>
      </c>
      <c r="K875">
        <v>22.505400000000002</v>
      </c>
      <c r="L875">
        <v>-74470.368600000002</v>
      </c>
      <c r="M875" t="s">
        <v>22</v>
      </c>
      <c r="N875" t="s">
        <v>318</v>
      </c>
    </row>
    <row r="876" spans="1:14" x14ac:dyDescent="0.25">
      <c r="A876" s="18">
        <v>45981</v>
      </c>
      <c r="B876" t="s">
        <v>289</v>
      </c>
      <c r="C876" t="s">
        <v>563</v>
      </c>
      <c r="D876" t="s">
        <v>564</v>
      </c>
      <c r="E876" t="s">
        <v>565</v>
      </c>
      <c r="F876" t="s">
        <v>21</v>
      </c>
      <c r="G876">
        <v>1</v>
      </c>
      <c r="H876">
        <v>23423</v>
      </c>
      <c r="I876">
        <v>-234230</v>
      </c>
      <c r="K876">
        <v>23423</v>
      </c>
      <c r="L876">
        <v>-234230</v>
      </c>
      <c r="M876" t="s">
        <v>564</v>
      </c>
      <c r="N876" t="s">
        <v>563</v>
      </c>
    </row>
    <row r="877" spans="1:14" x14ac:dyDescent="0.25">
      <c r="A877" s="18">
        <v>45981</v>
      </c>
      <c r="B877" t="s">
        <v>319</v>
      </c>
      <c r="C877" t="s">
        <v>435</v>
      </c>
      <c r="D877" t="s">
        <v>99</v>
      </c>
      <c r="E877" t="s">
        <v>100</v>
      </c>
      <c r="F877" t="s">
        <v>21</v>
      </c>
      <c r="G877">
        <v>-6977</v>
      </c>
      <c r="H877">
        <v>8.94</v>
      </c>
      <c r="I877">
        <v>62374.38</v>
      </c>
      <c r="K877">
        <v>8.94</v>
      </c>
      <c r="L877">
        <v>62374.38</v>
      </c>
      <c r="M877" t="s">
        <v>99</v>
      </c>
      <c r="N877" t="s">
        <v>435</v>
      </c>
    </row>
    <row r="878" spans="1:14" x14ac:dyDescent="0.25">
      <c r="A878" s="18">
        <v>45982</v>
      </c>
      <c r="B878" t="s">
        <v>289</v>
      </c>
      <c r="C878" t="s">
        <v>320</v>
      </c>
      <c r="D878" t="s">
        <v>321</v>
      </c>
      <c r="E878" t="s">
        <v>322</v>
      </c>
      <c r="F878" t="s">
        <v>36</v>
      </c>
      <c r="G878">
        <v>7000</v>
      </c>
      <c r="H878">
        <v>12.654</v>
      </c>
      <c r="I878">
        <v>-88578</v>
      </c>
      <c r="K878">
        <v>12.654</v>
      </c>
      <c r="L878">
        <v>-88578</v>
      </c>
      <c r="M878" t="s">
        <v>321</v>
      </c>
      <c r="N878" t="s">
        <v>320</v>
      </c>
    </row>
    <row r="879" spans="1:14" x14ac:dyDescent="0.25">
      <c r="A879" s="18">
        <v>45982</v>
      </c>
      <c r="B879" t="s">
        <v>319</v>
      </c>
      <c r="C879" t="s">
        <v>493</v>
      </c>
      <c r="D879" t="s">
        <v>28</v>
      </c>
      <c r="E879" t="s">
        <v>29</v>
      </c>
      <c r="F879" t="s">
        <v>21</v>
      </c>
      <c r="G879">
        <v>-657</v>
      </c>
      <c r="H879">
        <v>222.62190000000001</v>
      </c>
      <c r="I879">
        <v>146262.5883</v>
      </c>
      <c r="K879">
        <v>222.62190000000001</v>
      </c>
      <c r="L879">
        <v>146262.5883</v>
      </c>
      <c r="M879" t="s">
        <v>28</v>
      </c>
      <c r="N879" t="s">
        <v>493</v>
      </c>
    </row>
    <row r="880" spans="1:14" x14ac:dyDescent="0.25">
      <c r="A880" s="18">
        <v>45982</v>
      </c>
      <c r="B880" t="s">
        <v>319</v>
      </c>
      <c r="C880" t="s">
        <v>311</v>
      </c>
      <c r="D880" t="s">
        <v>312</v>
      </c>
      <c r="E880" t="s">
        <v>313</v>
      </c>
      <c r="F880" t="s">
        <v>21</v>
      </c>
      <c r="G880">
        <v>-500</v>
      </c>
      <c r="H880">
        <v>292.85000000000002</v>
      </c>
      <c r="I880">
        <v>146425</v>
      </c>
      <c r="K880">
        <v>292.85000000000002</v>
      </c>
      <c r="L880">
        <v>146425</v>
      </c>
      <c r="M880" t="s">
        <v>312</v>
      </c>
      <c r="N880" t="s">
        <v>311</v>
      </c>
    </row>
    <row r="881" spans="1:14" x14ac:dyDescent="0.25">
      <c r="A881" s="18">
        <v>45982</v>
      </c>
      <c r="B881" t="s">
        <v>319</v>
      </c>
      <c r="C881" t="s">
        <v>314</v>
      </c>
      <c r="D881" t="s">
        <v>315</v>
      </c>
      <c r="E881" t="s">
        <v>362</v>
      </c>
      <c r="F881" t="s">
        <v>21</v>
      </c>
      <c r="G881">
        <v>-5740</v>
      </c>
      <c r="H881">
        <v>25.9819</v>
      </c>
      <c r="I881">
        <v>149136.106</v>
      </c>
      <c r="K881">
        <v>25.9819</v>
      </c>
      <c r="L881">
        <v>149136.106</v>
      </c>
      <c r="M881" t="s">
        <v>315</v>
      </c>
      <c r="N881" t="s">
        <v>314</v>
      </c>
    </row>
    <row r="882" spans="1:14" x14ac:dyDescent="0.25">
      <c r="A882" s="18">
        <v>45982</v>
      </c>
      <c r="B882" t="s">
        <v>319</v>
      </c>
      <c r="C882" t="s">
        <v>596</v>
      </c>
      <c r="D882" t="s">
        <v>597</v>
      </c>
      <c r="E882" t="s">
        <v>598</v>
      </c>
      <c r="F882" t="s">
        <v>21</v>
      </c>
      <c r="G882">
        <v>-2598</v>
      </c>
      <c r="H882">
        <v>81.640699999999995</v>
      </c>
      <c r="I882">
        <v>212102.5386</v>
      </c>
      <c r="K882">
        <v>81.640699999999995</v>
      </c>
      <c r="L882">
        <v>212102.5386</v>
      </c>
      <c r="M882" t="s">
        <v>597</v>
      </c>
      <c r="N882" t="s">
        <v>596</v>
      </c>
    </row>
    <row r="883" spans="1:14" x14ac:dyDescent="0.25">
      <c r="A883" s="18">
        <v>45982</v>
      </c>
      <c r="B883" t="s">
        <v>289</v>
      </c>
      <c r="C883" t="s">
        <v>635</v>
      </c>
      <c r="D883" t="s">
        <v>636</v>
      </c>
      <c r="E883" t="s">
        <v>637</v>
      </c>
      <c r="F883" t="s">
        <v>21</v>
      </c>
      <c r="G883">
        <v>2241</v>
      </c>
      <c r="H883">
        <v>65.868799999999993</v>
      </c>
      <c r="I883">
        <v>-147611.98079999999</v>
      </c>
      <c r="K883">
        <v>65.868799999999993</v>
      </c>
      <c r="L883">
        <v>-147611.98079999999</v>
      </c>
      <c r="M883" t="s">
        <v>636</v>
      </c>
      <c r="N883" t="s">
        <v>635</v>
      </c>
    </row>
    <row r="884" spans="1:14" x14ac:dyDescent="0.25">
      <c r="A884" s="18">
        <v>45982</v>
      </c>
      <c r="B884" t="s">
        <v>319</v>
      </c>
      <c r="C884" t="s">
        <v>450</v>
      </c>
      <c r="D884" t="s">
        <v>116</v>
      </c>
      <c r="E884" t="s">
        <v>451</v>
      </c>
      <c r="F884" t="s">
        <v>21</v>
      </c>
      <c r="G884">
        <v>-76450</v>
      </c>
      <c r="H884">
        <v>6.5289999999999999</v>
      </c>
      <c r="I884">
        <v>499142.05</v>
      </c>
      <c r="K884">
        <v>6.5289999999999999</v>
      </c>
      <c r="L884">
        <v>499142.05</v>
      </c>
      <c r="M884" t="s">
        <v>116</v>
      </c>
      <c r="N884" t="s">
        <v>450</v>
      </c>
    </row>
    <row r="885" spans="1:14" x14ac:dyDescent="0.25">
      <c r="A885" s="18">
        <v>45982</v>
      </c>
      <c r="B885" t="s">
        <v>319</v>
      </c>
      <c r="C885" t="s">
        <v>648</v>
      </c>
      <c r="D885" t="s">
        <v>649</v>
      </c>
      <c r="E885" t="s">
        <v>650</v>
      </c>
      <c r="F885" t="s">
        <v>36</v>
      </c>
      <c r="G885">
        <v>-7</v>
      </c>
      <c r="H885">
        <v>9497</v>
      </c>
      <c r="I885">
        <v>664790</v>
      </c>
      <c r="K885">
        <v>9497</v>
      </c>
      <c r="L885">
        <v>664790</v>
      </c>
      <c r="M885" t="s">
        <v>649</v>
      </c>
      <c r="N885" t="s">
        <v>648</v>
      </c>
    </row>
    <row r="886" spans="1:14" x14ac:dyDescent="0.25">
      <c r="A886" s="18">
        <v>45982</v>
      </c>
      <c r="B886" t="s">
        <v>319</v>
      </c>
      <c r="C886" t="s">
        <v>557</v>
      </c>
      <c r="D886" t="s">
        <v>558</v>
      </c>
      <c r="E886" t="s">
        <v>559</v>
      </c>
      <c r="F886" t="s">
        <v>21</v>
      </c>
      <c r="G886">
        <v>-9</v>
      </c>
      <c r="H886">
        <v>5522</v>
      </c>
      <c r="I886">
        <v>496980</v>
      </c>
      <c r="K886">
        <v>5522</v>
      </c>
      <c r="L886">
        <v>496980</v>
      </c>
      <c r="M886" t="s">
        <v>558</v>
      </c>
      <c r="N886" t="s">
        <v>557</v>
      </c>
    </row>
    <row r="887" spans="1:14" x14ac:dyDescent="0.25">
      <c r="A887" s="18">
        <v>45982</v>
      </c>
      <c r="B887" t="s">
        <v>319</v>
      </c>
      <c r="C887" t="s">
        <v>563</v>
      </c>
      <c r="D887" t="s">
        <v>564</v>
      </c>
      <c r="E887" t="s">
        <v>565</v>
      </c>
      <c r="F887" t="s">
        <v>21</v>
      </c>
      <c r="G887">
        <v>-4</v>
      </c>
      <c r="H887">
        <v>23101</v>
      </c>
      <c r="I887">
        <v>462020</v>
      </c>
      <c r="K887">
        <v>23101</v>
      </c>
      <c r="L887">
        <v>462020</v>
      </c>
      <c r="M887" t="s">
        <v>564</v>
      </c>
      <c r="N887" t="s">
        <v>563</v>
      </c>
    </row>
    <row r="888" spans="1:14" x14ac:dyDescent="0.25">
      <c r="A888" s="18">
        <v>45982</v>
      </c>
      <c r="B888" t="s">
        <v>289</v>
      </c>
      <c r="C888" t="s">
        <v>582</v>
      </c>
      <c r="D888" t="s">
        <v>83</v>
      </c>
      <c r="E888" t="s">
        <v>583</v>
      </c>
      <c r="F888" t="s">
        <v>82</v>
      </c>
      <c r="G888">
        <v>563</v>
      </c>
      <c r="H888">
        <v>163.4</v>
      </c>
      <c r="I888">
        <v>-91994.2</v>
      </c>
      <c r="K888">
        <v>163.4</v>
      </c>
      <c r="L888">
        <v>-91994.2</v>
      </c>
      <c r="M888" t="s">
        <v>83</v>
      </c>
      <c r="N888" t="s">
        <v>582</v>
      </c>
    </row>
    <row r="889" spans="1:14" x14ac:dyDescent="0.25">
      <c r="A889" s="18">
        <v>45982</v>
      </c>
      <c r="B889" t="s">
        <v>319</v>
      </c>
      <c r="C889" t="s">
        <v>645</v>
      </c>
      <c r="D889" t="s">
        <v>646</v>
      </c>
      <c r="E889" t="s">
        <v>647</v>
      </c>
      <c r="F889" t="s">
        <v>21</v>
      </c>
      <c r="G889">
        <v>-12</v>
      </c>
      <c r="H889">
        <v>7885.5</v>
      </c>
      <c r="I889">
        <v>946260</v>
      </c>
      <c r="K889">
        <v>7885.5</v>
      </c>
      <c r="L889">
        <v>946260</v>
      </c>
      <c r="M889" t="s">
        <v>646</v>
      </c>
      <c r="N889" t="s">
        <v>645</v>
      </c>
    </row>
    <row r="890" spans="1:14" x14ac:dyDescent="0.25">
      <c r="A890" s="18">
        <v>45982</v>
      </c>
      <c r="B890" t="s">
        <v>319</v>
      </c>
      <c r="C890" t="s">
        <v>645</v>
      </c>
      <c r="D890" t="s">
        <v>646</v>
      </c>
      <c r="E890" t="s">
        <v>647</v>
      </c>
      <c r="F890" t="s">
        <v>21</v>
      </c>
      <c r="G890">
        <v>-3</v>
      </c>
      <c r="H890">
        <v>7930.5</v>
      </c>
      <c r="I890">
        <v>237915</v>
      </c>
      <c r="K890">
        <v>7930.5</v>
      </c>
      <c r="L890">
        <v>237915</v>
      </c>
      <c r="M890" t="s">
        <v>646</v>
      </c>
      <c r="N890" t="s">
        <v>645</v>
      </c>
    </row>
    <row r="891" spans="1:14" x14ac:dyDescent="0.25">
      <c r="A891" s="18">
        <v>45982</v>
      </c>
      <c r="B891" t="s">
        <v>289</v>
      </c>
      <c r="C891" t="s">
        <v>651</v>
      </c>
      <c r="D891" t="s">
        <v>652</v>
      </c>
      <c r="E891" t="s">
        <v>653</v>
      </c>
      <c r="F891" t="s">
        <v>36</v>
      </c>
      <c r="G891">
        <v>19244</v>
      </c>
      <c r="H891">
        <v>4.5194999999999999</v>
      </c>
      <c r="I891">
        <v>-86973.258000000002</v>
      </c>
      <c r="K891">
        <v>4.5194999999999999</v>
      </c>
      <c r="L891">
        <v>-86973.258000000002</v>
      </c>
      <c r="M891" t="s">
        <v>652</v>
      </c>
      <c r="N891" t="s">
        <v>651</v>
      </c>
    </row>
    <row r="892" spans="1:14" x14ac:dyDescent="0.25">
      <c r="A892" s="18">
        <v>45985</v>
      </c>
      <c r="B892" t="s">
        <v>289</v>
      </c>
      <c r="C892" t="s">
        <v>353</v>
      </c>
      <c r="D892" t="s">
        <v>122</v>
      </c>
      <c r="E892" t="s">
        <v>297</v>
      </c>
      <c r="F892" t="s">
        <v>21</v>
      </c>
      <c r="G892">
        <v>637</v>
      </c>
      <c r="H892">
        <v>234.82579999999999</v>
      </c>
      <c r="I892">
        <v>-149584.03459999998</v>
      </c>
      <c r="K892">
        <v>234.82579999999999</v>
      </c>
      <c r="L892">
        <v>-149584.03459999998</v>
      </c>
      <c r="M892" t="s">
        <v>122</v>
      </c>
      <c r="N892" t="s">
        <v>353</v>
      </c>
    </row>
    <row r="893" spans="1:14" x14ac:dyDescent="0.25">
      <c r="A893" s="18">
        <v>45985</v>
      </c>
      <c r="B893" t="s">
        <v>289</v>
      </c>
      <c r="C893" t="s">
        <v>311</v>
      </c>
      <c r="D893" t="s">
        <v>312</v>
      </c>
      <c r="E893" t="s">
        <v>313</v>
      </c>
      <c r="F893" t="s">
        <v>21</v>
      </c>
      <c r="G893">
        <v>518</v>
      </c>
      <c r="H893">
        <v>284.45</v>
      </c>
      <c r="I893">
        <v>-147345.1</v>
      </c>
      <c r="K893">
        <v>284.45</v>
      </c>
      <c r="L893">
        <v>-147345.1</v>
      </c>
      <c r="M893" t="s">
        <v>312</v>
      </c>
      <c r="N893" t="s">
        <v>311</v>
      </c>
    </row>
    <row r="894" spans="1:14" x14ac:dyDescent="0.25">
      <c r="A894" s="18">
        <v>45985</v>
      </c>
      <c r="B894" t="s">
        <v>289</v>
      </c>
      <c r="C894" t="s">
        <v>641</v>
      </c>
      <c r="D894" t="s">
        <v>37</v>
      </c>
      <c r="E894" t="s">
        <v>38</v>
      </c>
      <c r="F894" t="s">
        <v>36</v>
      </c>
      <c r="G894">
        <v>4246</v>
      </c>
      <c r="H894">
        <v>31.015000000000001</v>
      </c>
      <c r="I894">
        <v>-131689.69</v>
      </c>
      <c r="K894">
        <v>31.015000000000001</v>
      </c>
      <c r="L894">
        <v>-131689.69</v>
      </c>
      <c r="M894" t="s">
        <v>37</v>
      </c>
      <c r="N894" t="s">
        <v>641</v>
      </c>
    </row>
    <row r="895" spans="1:14" x14ac:dyDescent="0.25">
      <c r="A895" s="18">
        <v>45986</v>
      </c>
      <c r="B895" t="s">
        <v>319</v>
      </c>
      <c r="C895" t="s">
        <v>630</v>
      </c>
      <c r="D895" t="s">
        <v>631</v>
      </c>
      <c r="E895" t="s">
        <v>632</v>
      </c>
      <c r="F895" t="s">
        <v>21</v>
      </c>
      <c r="G895">
        <v>-19780</v>
      </c>
      <c r="H895">
        <v>2.4780000000000002</v>
      </c>
      <c r="I895">
        <v>49014.840000000004</v>
      </c>
      <c r="K895">
        <v>2.4780000000000002</v>
      </c>
      <c r="L895">
        <v>49014.840000000004</v>
      </c>
      <c r="M895" t="s">
        <v>631</v>
      </c>
      <c r="N895" t="s">
        <v>630</v>
      </c>
    </row>
    <row r="896" spans="1:14" x14ac:dyDescent="0.25">
      <c r="A896" s="18">
        <v>45986</v>
      </c>
      <c r="B896" t="s">
        <v>289</v>
      </c>
      <c r="C896" t="s">
        <v>654</v>
      </c>
      <c r="D896" t="s">
        <v>655</v>
      </c>
      <c r="E896" t="s">
        <v>656</v>
      </c>
      <c r="F896" t="s">
        <v>21</v>
      </c>
      <c r="G896">
        <v>11450</v>
      </c>
      <c r="H896">
        <v>22.074100000000001</v>
      </c>
      <c r="I896">
        <v>-252748.44500000001</v>
      </c>
      <c r="K896">
        <v>22.074100000000001</v>
      </c>
      <c r="L896">
        <v>-252748.44500000001</v>
      </c>
      <c r="M896" t="s">
        <v>655</v>
      </c>
      <c r="N896" t="s">
        <v>654</v>
      </c>
    </row>
    <row r="897" spans="1:14" x14ac:dyDescent="0.25">
      <c r="A897" s="18">
        <v>45986</v>
      </c>
      <c r="B897" t="s">
        <v>289</v>
      </c>
      <c r="C897" t="s">
        <v>554</v>
      </c>
      <c r="D897" t="s">
        <v>555</v>
      </c>
      <c r="E897" t="s">
        <v>556</v>
      </c>
      <c r="F897" t="s">
        <v>49</v>
      </c>
      <c r="G897">
        <v>1</v>
      </c>
      <c r="H897">
        <v>6739</v>
      </c>
      <c r="I897">
        <v>-673900</v>
      </c>
      <c r="K897">
        <v>6739</v>
      </c>
      <c r="L897">
        <v>-673900</v>
      </c>
      <c r="M897" t="s">
        <v>555</v>
      </c>
      <c r="N897" t="s">
        <v>554</v>
      </c>
    </row>
    <row r="898" spans="1:14" x14ac:dyDescent="0.25">
      <c r="A898" s="18">
        <v>45986</v>
      </c>
      <c r="B898" t="s">
        <v>319</v>
      </c>
      <c r="C898" t="s">
        <v>657</v>
      </c>
      <c r="D898" t="s">
        <v>658</v>
      </c>
      <c r="E898" t="s">
        <v>659</v>
      </c>
      <c r="F898" t="s">
        <v>49</v>
      </c>
      <c r="G898">
        <v>-1</v>
      </c>
      <c r="H898">
        <v>24849</v>
      </c>
      <c r="I898">
        <v>496980</v>
      </c>
      <c r="K898">
        <v>24849</v>
      </c>
      <c r="L898">
        <v>496980</v>
      </c>
      <c r="M898" t="s">
        <v>658</v>
      </c>
      <c r="N898" t="s">
        <v>657</v>
      </c>
    </row>
    <row r="899" spans="1:14" x14ac:dyDescent="0.25">
      <c r="A899" s="18">
        <v>45986</v>
      </c>
      <c r="B899" t="s">
        <v>289</v>
      </c>
      <c r="C899" t="s">
        <v>635</v>
      </c>
      <c r="D899" t="s">
        <v>636</v>
      </c>
      <c r="E899" t="s">
        <v>637</v>
      </c>
      <c r="F899" t="s">
        <v>21</v>
      </c>
      <c r="G899">
        <v>2193</v>
      </c>
      <c r="H899">
        <v>69.599999999999994</v>
      </c>
      <c r="I899">
        <v>-152632.79999999999</v>
      </c>
      <c r="K899">
        <v>69.599999999999994</v>
      </c>
      <c r="L899">
        <v>-152632.79999999999</v>
      </c>
      <c r="M899" t="s">
        <v>636</v>
      </c>
      <c r="N899" t="s">
        <v>635</v>
      </c>
    </row>
    <row r="900" spans="1:14" x14ac:dyDescent="0.25">
      <c r="A900" s="18">
        <v>45986</v>
      </c>
      <c r="B900" t="s">
        <v>289</v>
      </c>
      <c r="C900" t="s">
        <v>551</v>
      </c>
      <c r="D900" t="s">
        <v>552</v>
      </c>
      <c r="E900" t="s">
        <v>553</v>
      </c>
      <c r="F900" t="s">
        <v>21</v>
      </c>
      <c r="G900">
        <v>4519</v>
      </c>
      <c r="H900">
        <v>44.928100000000001</v>
      </c>
      <c r="I900">
        <v>-203030.0839</v>
      </c>
      <c r="K900">
        <v>44.928100000000001</v>
      </c>
      <c r="L900">
        <v>-203030.0839</v>
      </c>
      <c r="M900" t="s">
        <v>552</v>
      </c>
      <c r="N900" t="s">
        <v>551</v>
      </c>
    </row>
    <row r="901" spans="1:14" x14ac:dyDescent="0.25">
      <c r="A901" s="18">
        <v>45987</v>
      </c>
      <c r="B901" t="s">
        <v>289</v>
      </c>
      <c r="C901" t="s">
        <v>334</v>
      </c>
      <c r="D901" t="s">
        <v>335</v>
      </c>
      <c r="E901" t="s">
        <v>252</v>
      </c>
      <c r="F901" t="s">
        <v>21</v>
      </c>
      <c r="G901">
        <v>2376</v>
      </c>
      <c r="H901">
        <v>63.823799999999999</v>
      </c>
      <c r="I901">
        <v>-151645.34880000001</v>
      </c>
      <c r="K901">
        <v>63.823800000000006</v>
      </c>
      <c r="L901">
        <v>-151645.34880000001</v>
      </c>
      <c r="M901" t="s">
        <v>335</v>
      </c>
      <c r="N901" t="s">
        <v>334</v>
      </c>
    </row>
    <row r="902" spans="1:14" x14ac:dyDescent="0.25">
      <c r="A902" s="18">
        <v>45987</v>
      </c>
      <c r="B902" t="s">
        <v>289</v>
      </c>
      <c r="C902" t="s">
        <v>563</v>
      </c>
      <c r="D902" t="s">
        <v>564</v>
      </c>
      <c r="E902" t="s">
        <v>565</v>
      </c>
      <c r="F902" t="s">
        <v>21</v>
      </c>
      <c r="G902">
        <v>2</v>
      </c>
      <c r="H902">
        <v>23585</v>
      </c>
      <c r="I902">
        <v>-235850</v>
      </c>
      <c r="K902">
        <v>23585</v>
      </c>
      <c r="L902">
        <v>-235850</v>
      </c>
      <c r="M902" t="s">
        <v>564</v>
      </c>
      <c r="N902" t="s">
        <v>563</v>
      </c>
    </row>
    <row r="903" spans="1:14" x14ac:dyDescent="0.25">
      <c r="A903" s="18">
        <v>45987</v>
      </c>
      <c r="B903" t="s">
        <v>319</v>
      </c>
      <c r="C903" t="s">
        <v>557</v>
      </c>
      <c r="D903" t="s">
        <v>558</v>
      </c>
      <c r="E903" t="s">
        <v>559</v>
      </c>
      <c r="F903" t="s">
        <v>21</v>
      </c>
      <c r="G903">
        <v>-2</v>
      </c>
      <c r="H903">
        <v>5609</v>
      </c>
      <c r="I903">
        <v>112180</v>
      </c>
      <c r="K903">
        <v>5609</v>
      </c>
      <c r="L903">
        <v>112180</v>
      </c>
      <c r="M903" t="s">
        <v>558</v>
      </c>
      <c r="N903" t="s">
        <v>557</v>
      </c>
    </row>
    <row r="904" spans="1:14" x14ac:dyDescent="0.25">
      <c r="A904" s="18">
        <v>45987</v>
      </c>
      <c r="B904" t="s">
        <v>319</v>
      </c>
      <c r="C904" t="s">
        <v>331</v>
      </c>
      <c r="D904" t="s">
        <v>332</v>
      </c>
      <c r="E904" t="s">
        <v>333</v>
      </c>
      <c r="F904" t="s">
        <v>21</v>
      </c>
      <c r="G904">
        <v>-76</v>
      </c>
      <c r="H904">
        <v>1328.8368</v>
      </c>
      <c r="I904">
        <v>100991.5968</v>
      </c>
      <c r="K904">
        <v>1328.8368</v>
      </c>
      <c r="L904">
        <v>100991.5968</v>
      </c>
      <c r="M904" t="s">
        <v>332</v>
      </c>
      <c r="N904" t="s">
        <v>331</v>
      </c>
    </row>
    <row r="905" spans="1:14" x14ac:dyDescent="0.25">
      <c r="A905" s="18">
        <v>45987</v>
      </c>
      <c r="B905" t="s">
        <v>289</v>
      </c>
      <c r="C905" t="s">
        <v>334</v>
      </c>
      <c r="D905" t="s">
        <v>335</v>
      </c>
      <c r="E905" t="s">
        <v>252</v>
      </c>
      <c r="F905" t="s">
        <v>21</v>
      </c>
      <c r="G905">
        <v>1584</v>
      </c>
      <c r="H905">
        <v>63.52</v>
      </c>
      <c r="I905">
        <v>-100615.68000000001</v>
      </c>
      <c r="K905">
        <v>63.52</v>
      </c>
      <c r="L905">
        <v>-100615.68000000001</v>
      </c>
      <c r="M905" t="s">
        <v>335</v>
      </c>
      <c r="N905" t="s">
        <v>334</v>
      </c>
    </row>
    <row r="906" spans="1:14" x14ac:dyDescent="0.25">
      <c r="A906" s="18">
        <v>45987</v>
      </c>
      <c r="B906" t="s">
        <v>289</v>
      </c>
      <c r="C906" t="s">
        <v>493</v>
      </c>
      <c r="D906" t="s">
        <v>28</v>
      </c>
      <c r="E906" t="s">
        <v>29</v>
      </c>
      <c r="F906" t="s">
        <v>21</v>
      </c>
      <c r="G906">
        <v>444</v>
      </c>
      <c r="H906">
        <v>225.27500000000001</v>
      </c>
      <c r="I906">
        <v>-100022.1</v>
      </c>
      <c r="K906">
        <v>225.27500000000001</v>
      </c>
      <c r="L906">
        <v>-100022.1</v>
      </c>
      <c r="M906" t="s">
        <v>28</v>
      </c>
      <c r="N906" t="s">
        <v>493</v>
      </c>
    </row>
    <row r="907" spans="1:14" x14ac:dyDescent="0.25">
      <c r="A907" s="18">
        <v>45987</v>
      </c>
      <c r="B907" t="s">
        <v>289</v>
      </c>
      <c r="C907" t="s">
        <v>660</v>
      </c>
      <c r="D907" t="s">
        <v>62</v>
      </c>
      <c r="E907" t="s">
        <v>63</v>
      </c>
      <c r="F907" t="s">
        <v>49</v>
      </c>
      <c r="G907">
        <v>358</v>
      </c>
      <c r="H907">
        <v>319.02999999999997</v>
      </c>
      <c r="I907">
        <v>-114212.73999999999</v>
      </c>
      <c r="K907">
        <v>319.02999999999997</v>
      </c>
      <c r="L907">
        <v>-114212.73999999999</v>
      </c>
      <c r="M907" t="s">
        <v>62</v>
      </c>
      <c r="N907" t="s">
        <v>660</v>
      </c>
    </row>
    <row r="908" spans="1:14" x14ac:dyDescent="0.25">
      <c r="A908" s="18">
        <v>45987</v>
      </c>
      <c r="B908" t="s">
        <v>319</v>
      </c>
      <c r="C908" t="s">
        <v>521</v>
      </c>
      <c r="D908" t="s">
        <v>522</v>
      </c>
      <c r="E908" t="s">
        <v>523</v>
      </c>
      <c r="F908" t="s">
        <v>36</v>
      </c>
      <c r="G908">
        <v>-5</v>
      </c>
      <c r="H908">
        <v>93.36</v>
      </c>
      <c r="I908">
        <v>466800</v>
      </c>
      <c r="K908">
        <v>93.36</v>
      </c>
      <c r="L908">
        <v>466800</v>
      </c>
      <c r="M908" t="s">
        <v>522</v>
      </c>
      <c r="N908" t="s">
        <v>521</v>
      </c>
    </row>
    <row r="909" spans="1:14" x14ac:dyDescent="0.25">
      <c r="A909" s="18">
        <v>45987</v>
      </c>
      <c r="B909" t="s">
        <v>289</v>
      </c>
      <c r="C909" t="s">
        <v>661</v>
      </c>
      <c r="D909" t="s">
        <v>662</v>
      </c>
      <c r="E909" t="s">
        <v>663</v>
      </c>
      <c r="F909" t="s">
        <v>36</v>
      </c>
      <c r="G909">
        <v>5</v>
      </c>
      <c r="H909">
        <v>91.81</v>
      </c>
      <c r="I909">
        <v>-459050</v>
      </c>
      <c r="K909">
        <v>91.81</v>
      </c>
      <c r="L909">
        <v>-459050</v>
      </c>
      <c r="M909" t="s">
        <v>662</v>
      </c>
      <c r="N909" t="s">
        <v>661</v>
      </c>
    </row>
    <row r="910" spans="1:14" x14ac:dyDescent="0.25">
      <c r="A910" s="18">
        <v>45987</v>
      </c>
      <c r="B910" t="s">
        <v>319</v>
      </c>
      <c r="C910" t="s">
        <v>515</v>
      </c>
      <c r="D910" t="s">
        <v>516</v>
      </c>
      <c r="E910" t="s">
        <v>517</v>
      </c>
      <c r="F910" t="s">
        <v>49</v>
      </c>
      <c r="G910">
        <v>-10</v>
      </c>
      <c r="H910">
        <v>113.5546875</v>
      </c>
      <c r="I910">
        <v>1135546.875</v>
      </c>
      <c r="K910">
        <v>113.5546875</v>
      </c>
      <c r="L910">
        <v>1135546.875</v>
      </c>
      <c r="M910" t="s">
        <v>516</v>
      </c>
      <c r="N910" t="s">
        <v>515</v>
      </c>
    </row>
    <row r="911" spans="1:14" x14ac:dyDescent="0.25">
      <c r="A911" s="18">
        <v>45987</v>
      </c>
      <c r="B911" t="s">
        <v>289</v>
      </c>
      <c r="C911" t="s">
        <v>664</v>
      </c>
      <c r="D911" t="s">
        <v>665</v>
      </c>
      <c r="E911" t="s">
        <v>666</v>
      </c>
      <c r="F911" t="s">
        <v>49</v>
      </c>
      <c r="G911">
        <v>10</v>
      </c>
      <c r="H911">
        <v>113.5</v>
      </c>
      <c r="I911">
        <v>-1135000</v>
      </c>
      <c r="K911">
        <v>113.5</v>
      </c>
      <c r="L911">
        <v>-1135000</v>
      </c>
      <c r="M911" t="s">
        <v>665</v>
      </c>
      <c r="N911" t="s">
        <v>664</v>
      </c>
    </row>
    <row r="912" spans="1:14" x14ac:dyDescent="0.25">
      <c r="A912" s="18">
        <v>45988</v>
      </c>
      <c r="B912" t="s">
        <v>319</v>
      </c>
      <c r="C912" t="s">
        <v>630</v>
      </c>
      <c r="D912" t="s">
        <v>631</v>
      </c>
      <c r="E912" t="s">
        <v>632</v>
      </c>
      <c r="F912" t="s">
        <v>21</v>
      </c>
      <c r="G912">
        <v>-98390</v>
      </c>
      <c r="H912">
        <v>2.4651999999999998</v>
      </c>
      <c r="I912">
        <v>242551.02799999999</v>
      </c>
      <c r="K912">
        <v>2.4651999999999998</v>
      </c>
      <c r="L912">
        <v>242551.02799999999</v>
      </c>
      <c r="M912" t="s">
        <v>631</v>
      </c>
      <c r="N912" t="s">
        <v>630</v>
      </c>
    </row>
    <row r="913" spans="1:14" x14ac:dyDescent="0.25">
      <c r="A913" s="18">
        <v>45988</v>
      </c>
      <c r="B913" t="s">
        <v>289</v>
      </c>
      <c r="C913" t="s">
        <v>334</v>
      </c>
      <c r="D913" t="s">
        <v>335</v>
      </c>
      <c r="E913" t="s">
        <v>252</v>
      </c>
      <c r="F913" t="s">
        <v>21</v>
      </c>
      <c r="G913">
        <v>1179</v>
      </c>
      <c r="H913">
        <v>63.68</v>
      </c>
      <c r="I913">
        <v>-75078.720000000001</v>
      </c>
      <c r="K913">
        <v>63.68</v>
      </c>
      <c r="L913">
        <v>-75078.720000000001</v>
      </c>
      <c r="M913" t="s">
        <v>335</v>
      </c>
      <c r="N913" t="s">
        <v>334</v>
      </c>
    </row>
    <row r="914" spans="1:14" x14ac:dyDescent="0.25">
      <c r="A914" s="18">
        <v>45988</v>
      </c>
      <c r="B914" t="s">
        <v>289</v>
      </c>
      <c r="C914" t="s">
        <v>584</v>
      </c>
      <c r="D914" t="s">
        <v>585</v>
      </c>
      <c r="E914" t="s">
        <v>586</v>
      </c>
      <c r="F914" t="s">
        <v>36</v>
      </c>
      <c r="G914">
        <v>310</v>
      </c>
      <c r="H914">
        <v>140.35</v>
      </c>
      <c r="I914">
        <v>-43508.5</v>
      </c>
      <c r="K914">
        <v>140.35</v>
      </c>
      <c r="L914">
        <v>-43508.5</v>
      </c>
      <c r="M914" t="s">
        <v>585</v>
      </c>
      <c r="N914" t="s">
        <v>584</v>
      </c>
    </row>
    <row r="915" spans="1:14" x14ac:dyDescent="0.25">
      <c r="A915" s="18">
        <v>45988</v>
      </c>
      <c r="B915" t="s">
        <v>289</v>
      </c>
      <c r="C915" t="s">
        <v>490</v>
      </c>
      <c r="D915" t="s">
        <v>491</v>
      </c>
      <c r="E915" t="s">
        <v>492</v>
      </c>
      <c r="F915" t="s">
        <v>21</v>
      </c>
      <c r="G915">
        <v>2929</v>
      </c>
      <c r="H915">
        <v>42.81</v>
      </c>
      <c r="I915">
        <v>-125390.49</v>
      </c>
      <c r="K915">
        <v>42.81</v>
      </c>
      <c r="L915">
        <v>-125390.49</v>
      </c>
      <c r="M915" t="s">
        <v>491</v>
      </c>
      <c r="N915" t="s">
        <v>490</v>
      </c>
    </row>
    <row r="916" spans="1:14" x14ac:dyDescent="0.25">
      <c r="A916" s="18">
        <v>45989</v>
      </c>
      <c r="B916" t="s">
        <v>319</v>
      </c>
      <c r="C916" t="s">
        <v>320</v>
      </c>
      <c r="D916" t="s">
        <v>321</v>
      </c>
      <c r="E916" t="s">
        <v>322</v>
      </c>
      <c r="F916" t="s">
        <v>36</v>
      </c>
      <c r="G916">
        <v>-11059</v>
      </c>
      <c r="H916">
        <v>14.45</v>
      </c>
      <c r="I916">
        <v>159802.54999999999</v>
      </c>
      <c r="K916">
        <v>14.45</v>
      </c>
      <c r="L916">
        <v>159802.54999999999</v>
      </c>
      <c r="M916" t="s">
        <v>321</v>
      </c>
      <c r="N916" t="s">
        <v>320</v>
      </c>
    </row>
    <row r="917" spans="1:14" x14ac:dyDescent="0.25">
      <c r="A917" s="18">
        <v>45989</v>
      </c>
      <c r="B917" t="s">
        <v>319</v>
      </c>
      <c r="C917" t="s">
        <v>654</v>
      </c>
      <c r="D917" t="s">
        <v>655</v>
      </c>
      <c r="E917" t="s">
        <v>656</v>
      </c>
      <c r="F917" t="s">
        <v>21</v>
      </c>
      <c r="G917">
        <v>-11450</v>
      </c>
      <c r="H917">
        <v>22.049800000000001</v>
      </c>
      <c r="I917">
        <v>252470.21000000002</v>
      </c>
      <c r="K917">
        <v>22.049800000000001</v>
      </c>
      <c r="L917">
        <v>252470.21000000002</v>
      </c>
      <c r="M917" t="s">
        <v>655</v>
      </c>
      <c r="N917" t="s">
        <v>654</v>
      </c>
    </row>
    <row r="918" spans="1:14" x14ac:dyDescent="0.25">
      <c r="A918" s="18">
        <v>45989</v>
      </c>
      <c r="B918" t="s">
        <v>289</v>
      </c>
      <c r="C918" t="s">
        <v>328</v>
      </c>
      <c r="D918" t="s">
        <v>329</v>
      </c>
      <c r="E918" t="s">
        <v>330</v>
      </c>
      <c r="F918" t="s">
        <v>21</v>
      </c>
      <c r="G918">
        <v>66</v>
      </c>
      <c r="H918">
        <v>1503</v>
      </c>
      <c r="I918">
        <v>-99198</v>
      </c>
      <c r="K918">
        <v>1503</v>
      </c>
      <c r="L918">
        <v>-99198</v>
      </c>
      <c r="M918" t="s">
        <v>329</v>
      </c>
      <c r="N918" t="s">
        <v>328</v>
      </c>
    </row>
    <row r="919" spans="1:14" x14ac:dyDescent="0.25">
      <c r="A919" s="18">
        <v>45989</v>
      </c>
      <c r="B919" t="s">
        <v>289</v>
      </c>
      <c r="C919" t="s">
        <v>334</v>
      </c>
      <c r="D919" t="s">
        <v>335</v>
      </c>
      <c r="E919" t="s">
        <v>252</v>
      </c>
      <c r="F919" t="s">
        <v>21</v>
      </c>
      <c r="G919">
        <v>1560</v>
      </c>
      <c r="H919">
        <v>64.16</v>
      </c>
      <c r="I919">
        <v>-100089.59999999999</v>
      </c>
      <c r="K919">
        <v>64.16</v>
      </c>
      <c r="L919">
        <v>-100089.59999999999</v>
      </c>
      <c r="M919" t="s">
        <v>335</v>
      </c>
      <c r="N919" t="s">
        <v>334</v>
      </c>
    </row>
    <row r="920" spans="1:14" x14ac:dyDescent="0.25">
      <c r="A920" s="18">
        <v>45989</v>
      </c>
      <c r="B920" t="s">
        <v>289</v>
      </c>
      <c r="C920" t="s">
        <v>421</v>
      </c>
      <c r="D920" t="s">
        <v>422</v>
      </c>
      <c r="E920" t="s">
        <v>423</v>
      </c>
      <c r="F920" t="s">
        <v>49</v>
      </c>
      <c r="G920">
        <v>1354</v>
      </c>
      <c r="H920">
        <v>86.966099999999997</v>
      </c>
      <c r="I920">
        <v>-117752.09939999999</v>
      </c>
      <c r="K920">
        <v>86.966099999999997</v>
      </c>
      <c r="L920">
        <v>-117752.09939999999</v>
      </c>
      <c r="M920" t="s">
        <v>422</v>
      </c>
      <c r="N920" t="s">
        <v>421</v>
      </c>
    </row>
    <row r="921" spans="1:14" x14ac:dyDescent="0.25">
      <c r="A921" s="18">
        <v>45989</v>
      </c>
      <c r="B921" t="s">
        <v>289</v>
      </c>
      <c r="C921" t="s">
        <v>630</v>
      </c>
      <c r="D921" t="s">
        <v>631</v>
      </c>
      <c r="E921" t="s">
        <v>632</v>
      </c>
      <c r="F921" t="s">
        <v>21</v>
      </c>
      <c r="G921">
        <v>19900</v>
      </c>
      <c r="H921">
        <v>2.4830000000000001</v>
      </c>
      <c r="I921">
        <v>-49411.700000000004</v>
      </c>
      <c r="K921">
        <v>2.4830000000000001</v>
      </c>
      <c r="L921">
        <v>-49411.700000000004</v>
      </c>
      <c r="M921" t="s">
        <v>631</v>
      </c>
      <c r="N921" t="s">
        <v>630</v>
      </c>
    </row>
    <row r="922" spans="1:14" x14ac:dyDescent="0.25">
      <c r="A922" s="18">
        <v>45989</v>
      </c>
      <c r="B922" t="s">
        <v>289</v>
      </c>
      <c r="C922" t="s">
        <v>630</v>
      </c>
      <c r="D922" t="s">
        <v>631</v>
      </c>
      <c r="E922" t="s">
        <v>632</v>
      </c>
      <c r="F922" t="s">
        <v>21</v>
      </c>
      <c r="G922">
        <v>19890</v>
      </c>
      <c r="H922">
        <v>2.4870000000000001</v>
      </c>
      <c r="I922">
        <v>-49466.43</v>
      </c>
      <c r="K922">
        <v>2.4870000000000001</v>
      </c>
      <c r="L922">
        <v>-49466.43</v>
      </c>
      <c r="M922" t="s">
        <v>631</v>
      </c>
      <c r="N922" t="s">
        <v>630</v>
      </c>
    </row>
    <row r="923" spans="1:14" x14ac:dyDescent="0.25">
      <c r="A923" s="18">
        <v>45989</v>
      </c>
      <c r="B923" t="s">
        <v>289</v>
      </c>
      <c r="C923" t="s">
        <v>630</v>
      </c>
      <c r="D923" t="s">
        <v>631</v>
      </c>
      <c r="E923" t="s">
        <v>632</v>
      </c>
      <c r="F923" t="s">
        <v>21</v>
      </c>
      <c r="G923">
        <v>19850</v>
      </c>
      <c r="H923">
        <v>2.5190999999999999</v>
      </c>
      <c r="I923">
        <v>-50004.134999999995</v>
      </c>
      <c r="K923">
        <v>2.5190999999999999</v>
      </c>
      <c r="L923">
        <v>-50004.134999999995</v>
      </c>
      <c r="M923" t="s">
        <v>631</v>
      </c>
      <c r="N923" t="s">
        <v>630</v>
      </c>
    </row>
    <row r="924" spans="1:14" x14ac:dyDescent="0.25">
      <c r="A924" s="18">
        <v>45989</v>
      </c>
      <c r="B924" t="s">
        <v>289</v>
      </c>
      <c r="C924" t="s">
        <v>630</v>
      </c>
      <c r="D924" t="s">
        <v>631</v>
      </c>
      <c r="E924" t="s">
        <v>632</v>
      </c>
      <c r="F924" t="s">
        <v>21</v>
      </c>
      <c r="G924">
        <v>19850</v>
      </c>
      <c r="H924">
        <v>2.5114999999999998</v>
      </c>
      <c r="I924">
        <v>-49853.274999999994</v>
      </c>
      <c r="K924">
        <v>2.5114999999999998</v>
      </c>
      <c r="L924">
        <v>-49853.274999999994</v>
      </c>
      <c r="M924" t="s">
        <v>631</v>
      </c>
      <c r="N924" t="s">
        <v>630</v>
      </c>
    </row>
    <row r="925" spans="1:14" x14ac:dyDescent="0.25">
      <c r="A925" s="18">
        <v>45989</v>
      </c>
      <c r="B925" t="s">
        <v>319</v>
      </c>
      <c r="C925" t="s">
        <v>358</v>
      </c>
      <c r="D925" t="s">
        <v>359</v>
      </c>
      <c r="E925" t="s">
        <v>360</v>
      </c>
      <c r="F925" t="s">
        <v>21</v>
      </c>
      <c r="G925">
        <v>-7662</v>
      </c>
      <c r="H925">
        <v>19.028700000000001</v>
      </c>
      <c r="I925">
        <v>145797.89939999999</v>
      </c>
      <c r="K925">
        <v>19.028700000000001</v>
      </c>
      <c r="L925">
        <v>145797.89939999999</v>
      </c>
      <c r="M925" t="s">
        <v>359</v>
      </c>
      <c r="N925" t="s">
        <v>358</v>
      </c>
    </row>
    <row r="926" spans="1:14" x14ac:dyDescent="0.25">
      <c r="A926" s="18">
        <v>45992</v>
      </c>
      <c r="B926" t="s">
        <v>289</v>
      </c>
      <c r="C926" t="s">
        <v>630</v>
      </c>
      <c r="D926" t="s">
        <v>631</v>
      </c>
      <c r="E926" t="s">
        <v>632</v>
      </c>
      <c r="F926" t="s">
        <v>21</v>
      </c>
      <c r="G926">
        <v>19850</v>
      </c>
      <c r="H926">
        <v>2.4674</v>
      </c>
      <c r="I926">
        <v>-48977.89</v>
      </c>
      <c r="K926">
        <v>2.4674</v>
      </c>
      <c r="L926">
        <v>-48977.89</v>
      </c>
      <c r="M926" t="s">
        <v>631</v>
      </c>
      <c r="N926" t="s">
        <v>630</v>
      </c>
    </row>
    <row r="927" spans="1:14" x14ac:dyDescent="0.25">
      <c r="A927" s="18">
        <v>45992</v>
      </c>
      <c r="B927" t="s">
        <v>289</v>
      </c>
      <c r="C927" t="s">
        <v>328</v>
      </c>
      <c r="D927" t="s">
        <v>329</v>
      </c>
      <c r="E927" t="s">
        <v>330</v>
      </c>
      <c r="F927" t="s">
        <v>21</v>
      </c>
      <c r="G927">
        <v>34</v>
      </c>
      <c r="H927">
        <v>1433.5</v>
      </c>
      <c r="I927">
        <v>-48739</v>
      </c>
      <c r="K927">
        <v>1433.5</v>
      </c>
      <c r="L927">
        <v>-48739</v>
      </c>
      <c r="M927" t="s">
        <v>329</v>
      </c>
      <c r="N927" t="s">
        <v>328</v>
      </c>
    </row>
    <row r="928" spans="1:14" x14ac:dyDescent="0.25">
      <c r="A928" s="18">
        <v>45992</v>
      </c>
      <c r="B928" t="s">
        <v>319</v>
      </c>
      <c r="C928" t="s">
        <v>320</v>
      </c>
      <c r="D928" t="s">
        <v>321</v>
      </c>
      <c r="E928" t="s">
        <v>322</v>
      </c>
      <c r="F928" t="s">
        <v>36</v>
      </c>
      <c r="G928">
        <v>-3000</v>
      </c>
      <c r="H928">
        <v>14.092599999999999</v>
      </c>
      <c r="I928">
        <v>42277.799999999996</v>
      </c>
      <c r="K928">
        <v>14.092599999999999</v>
      </c>
      <c r="L928">
        <v>42277.799999999996</v>
      </c>
      <c r="M928" t="s">
        <v>321</v>
      </c>
      <c r="N928" t="s">
        <v>320</v>
      </c>
    </row>
    <row r="929" spans="1:14" x14ac:dyDescent="0.25">
      <c r="A929" s="18">
        <v>45992</v>
      </c>
      <c r="B929" t="s">
        <v>319</v>
      </c>
      <c r="C929" t="s">
        <v>320</v>
      </c>
      <c r="D929" t="s">
        <v>321</v>
      </c>
      <c r="E929" t="s">
        <v>322</v>
      </c>
      <c r="F929" t="s">
        <v>36</v>
      </c>
      <c r="G929">
        <v>-9855</v>
      </c>
      <c r="H929">
        <v>14.4</v>
      </c>
      <c r="I929">
        <v>141912</v>
      </c>
      <c r="K929">
        <v>14.4</v>
      </c>
      <c r="L929">
        <v>141912</v>
      </c>
      <c r="M929" t="s">
        <v>321</v>
      </c>
      <c r="N929" t="s">
        <v>320</v>
      </c>
    </row>
    <row r="930" spans="1:14" x14ac:dyDescent="0.25">
      <c r="A930" s="18">
        <v>45992</v>
      </c>
      <c r="B930" t="s">
        <v>289</v>
      </c>
      <c r="C930" t="s">
        <v>563</v>
      </c>
      <c r="D930" t="s">
        <v>564</v>
      </c>
      <c r="E930" t="s">
        <v>565</v>
      </c>
      <c r="F930" t="s">
        <v>21</v>
      </c>
      <c r="G930">
        <v>1</v>
      </c>
      <c r="H930">
        <v>23621</v>
      </c>
      <c r="I930">
        <v>-118105</v>
      </c>
      <c r="K930">
        <v>23621</v>
      </c>
      <c r="L930">
        <v>-118105</v>
      </c>
      <c r="M930" t="s">
        <v>564</v>
      </c>
      <c r="N930" t="s">
        <v>563</v>
      </c>
    </row>
    <row r="931" spans="1:14" x14ac:dyDescent="0.25">
      <c r="A931" s="18">
        <v>45993</v>
      </c>
      <c r="B931" t="s">
        <v>289</v>
      </c>
      <c r="C931" t="s">
        <v>599</v>
      </c>
      <c r="D931" t="s">
        <v>600</v>
      </c>
      <c r="E931" t="s">
        <v>601</v>
      </c>
      <c r="F931" t="s">
        <v>21</v>
      </c>
      <c r="G931">
        <v>331</v>
      </c>
      <c r="H931">
        <v>370.91829999999999</v>
      </c>
      <c r="I931">
        <v>-122773.95729999999</v>
      </c>
      <c r="K931">
        <v>370.91829999999999</v>
      </c>
      <c r="L931">
        <v>-122773.95729999999</v>
      </c>
      <c r="M931" t="s">
        <v>600</v>
      </c>
      <c r="N931" t="s">
        <v>599</v>
      </c>
    </row>
    <row r="932" spans="1:14" x14ac:dyDescent="0.25">
      <c r="A932" s="18">
        <v>45993</v>
      </c>
      <c r="B932" t="s">
        <v>289</v>
      </c>
      <c r="C932" t="s">
        <v>318</v>
      </c>
      <c r="D932" t="s">
        <v>22</v>
      </c>
      <c r="E932" t="s">
        <v>23</v>
      </c>
      <c r="F932" t="s">
        <v>21</v>
      </c>
      <c r="G932">
        <v>5290</v>
      </c>
      <c r="H932">
        <v>23.266300000000001</v>
      </c>
      <c r="I932">
        <v>-123078.727</v>
      </c>
      <c r="K932">
        <v>23.266300000000001</v>
      </c>
      <c r="L932">
        <v>-123078.727</v>
      </c>
      <c r="M932" t="s">
        <v>22</v>
      </c>
      <c r="N932" t="s">
        <v>318</v>
      </c>
    </row>
    <row r="933" spans="1:14" x14ac:dyDescent="0.25">
      <c r="A933" s="18">
        <v>45993</v>
      </c>
      <c r="B933" t="s">
        <v>319</v>
      </c>
      <c r="C933" t="s">
        <v>291</v>
      </c>
      <c r="D933" t="s">
        <v>292</v>
      </c>
      <c r="E933" t="s">
        <v>293</v>
      </c>
      <c r="F933" t="s">
        <v>21</v>
      </c>
      <c r="G933">
        <v>-168920</v>
      </c>
      <c r="H933">
        <v>1.4863</v>
      </c>
      <c r="I933">
        <v>251065.796</v>
      </c>
      <c r="K933">
        <v>1.4863</v>
      </c>
      <c r="L933">
        <v>251065.796</v>
      </c>
      <c r="M933" t="s">
        <v>292</v>
      </c>
      <c r="N933" t="s">
        <v>291</v>
      </c>
    </row>
    <row r="934" spans="1:14" x14ac:dyDescent="0.25">
      <c r="A934" s="18">
        <v>45994</v>
      </c>
      <c r="B934" t="s">
        <v>289</v>
      </c>
      <c r="C934" t="s">
        <v>667</v>
      </c>
      <c r="D934" t="s">
        <v>668</v>
      </c>
      <c r="E934" t="s">
        <v>669</v>
      </c>
      <c r="F934" t="s">
        <v>21</v>
      </c>
      <c r="G934">
        <v>58825</v>
      </c>
      <c r="H934">
        <v>2.5491000000000001</v>
      </c>
      <c r="I934">
        <v>-149950.8075</v>
      </c>
      <c r="K934">
        <v>2.5490999999999997</v>
      </c>
      <c r="L934">
        <v>-149950.8075</v>
      </c>
      <c r="M934" t="s">
        <v>668</v>
      </c>
      <c r="N934" t="s">
        <v>667</v>
      </c>
    </row>
    <row r="935" spans="1:14" x14ac:dyDescent="0.25">
      <c r="A935" s="18">
        <v>45994</v>
      </c>
      <c r="B935" t="s">
        <v>319</v>
      </c>
      <c r="C935" t="s">
        <v>318</v>
      </c>
      <c r="D935" t="s">
        <v>22</v>
      </c>
      <c r="E935" t="s">
        <v>23</v>
      </c>
      <c r="F935" t="s">
        <v>21</v>
      </c>
      <c r="G935">
        <v>-6444</v>
      </c>
      <c r="H935">
        <v>23.193100000000001</v>
      </c>
      <c r="I935">
        <v>149456.3364</v>
      </c>
      <c r="K935">
        <v>23.193100000000001</v>
      </c>
      <c r="L935">
        <v>149456.3364</v>
      </c>
      <c r="M935" t="s">
        <v>22</v>
      </c>
      <c r="N935" t="s">
        <v>318</v>
      </c>
    </row>
    <row r="936" spans="1:14" x14ac:dyDescent="0.25">
      <c r="A936" s="18">
        <v>45995</v>
      </c>
      <c r="B936" t="s">
        <v>319</v>
      </c>
      <c r="C936" t="s">
        <v>342</v>
      </c>
      <c r="D936" t="s">
        <v>343</v>
      </c>
      <c r="E936" t="s">
        <v>282</v>
      </c>
      <c r="F936" t="s">
        <v>21</v>
      </c>
      <c r="G936">
        <v>-2388</v>
      </c>
      <c r="H936">
        <v>84.08</v>
      </c>
      <c r="I936">
        <v>200783.04</v>
      </c>
      <c r="K936">
        <v>84.08</v>
      </c>
      <c r="L936">
        <v>200783.04</v>
      </c>
      <c r="M936" t="s">
        <v>343</v>
      </c>
      <c r="N936" t="s">
        <v>342</v>
      </c>
    </row>
    <row r="937" spans="1:14" x14ac:dyDescent="0.25">
      <c r="A937" s="18">
        <v>45995</v>
      </c>
      <c r="B937" t="s">
        <v>289</v>
      </c>
      <c r="C937" t="s">
        <v>670</v>
      </c>
      <c r="D937" t="s">
        <v>671</v>
      </c>
      <c r="E937" t="s">
        <v>672</v>
      </c>
      <c r="F937" t="s">
        <v>21</v>
      </c>
      <c r="G937">
        <v>970</v>
      </c>
      <c r="H937">
        <v>129.9</v>
      </c>
      <c r="I937">
        <v>-126003</v>
      </c>
      <c r="K937">
        <v>129.9</v>
      </c>
      <c r="L937">
        <v>-126003</v>
      </c>
      <c r="M937" t="s">
        <v>671</v>
      </c>
      <c r="N937" t="s">
        <v>670</v>
      </c>
    </row>
    <row r="938" spans="1:14" x14ac:dyDescent="0.25">
      <c r="A938" s="18">
        <v>45995</v>
      </c>
      <c r="B938" t="s">
        <v>289</v>
      </c>
      <c r="C938" t="s">
        <v>645</v>
      </c>
      <c r="D938" t="s">
        <v>646</v>
      </c>
      <c r="E938" t="s">
        <v>647</v>
      </c>
      <c r="F938" t="s">
        <v>21</v>
      </c>
      <c r="G938">
        <v>2</v>
      </c>
      <c r="H938">
        <v>8121</v>
      </c>
      <c r="I938">
        <v>-162420</v>
      </c>
      <c r="K938">
        <v>8121</v>
      </c>
      <c r="L938">
        <v>-162420</v>
      </c>
      <c r="M938" t="s">
        <v>646</v>
      </c>
      <c r="N938" t="s">
        <v>645</v>
      </c>
    </row>
    <row r="939" spans="1:14" x14ac:dyDescent="0.25">
      <c r="A939" s="18">
        <v>45995</v>
      </c>
      <c r="B939" t="s">
        <v>319</v>
      </c>
      <c r="C939" t="s">
        <v>530</v>
      </c>
      <c r="D939" t="s">
        <v>531</v>
      </c>
      <c r="E939" t="s">
        <v>532</v>
      </c>
      <c r="F939" t="s">
        <v>21</v>
      </c>
      <c r="G939">
        <v>-16</v>
      </c>
      <c r="H939">
        <v>120.55</v>
      </c>
      <c r="I939">
        <v>1928800</v>
      </c>
      <c r="K939">
        <v>120.55</v>
      </c>
      <c r="L939">
        <v>1928800</v>
      </c>
      <c r="M939" t="s">
        <v>531</v>
      </c>
      <c r="N939" t="s">
        <v>530</v>
      </c>
    </row>
    <row r="940" spans="1:14" x14ac:dyDescent="0.25">
      <c r="A940" s="18">
        <v>45995</v>
      </c>
      <c r="B940" t="s">
        <v>289</v>
      </c>
      <c r="C940" t="s">
        <v>673</v>
      </c>
      <c r="D940" t="s">
        <v>674</v>
      </c>
      <c r="E940" t="s">
        <v>675</v>
      </c>
      <c r="F940" t="s">
        <v>21</v>
      </c>
      <c r="G940">
        <v>16</v>
      </c>
      <c r="H940">
        <v>120.84</v>
      </c>
      <c r="I940">
        <v>-1933440</v>
      </c>
      <c r="K940">
        <v>120.84</v>
      </c>
      <c r="L940">
        <v>-1933440</v>
      </c>
      <c r="M940" t="s">
        <v>674</v>
      </c>
      <c r="N940" t="s">
        <v>673</v>
      </c>
    </row>
    <row r="941" spans="1:14" x14ac:dyDescent="0.25">
      <c r="A941" s="18">
        <v>45995</v>
      </c>
      <c r="B941" t="s">
        <v>319</v>
      </c>
      <c r="C941" t="s">
        <v>527</v>
      </c>
      <c r="D941" t="s">
        <v>528</v>
      </c>
      <c r="E941" t="s">
        <v>529</v>
      </c>
      <c r="F941" t="s">
        <v>21</v>
      </c>
      <c r="G941">
        <v>-23</v>
      </c>
      <c r="H941">
        <v>128.19999999999999</v>
      </c>
      <c r="I941">
        <v>2948600</v>
      </c>
      <c r="K941">
        <v>128.19999999999999</v>
      </c>
      <c r="L941">
        <v>2948600</v>
      </c>
      <c r="M941" t="s">
        <v>528</v>
      </c>
      <c r="N941" t="s">
        <v>527</v>
      </c>
    </row>
    <row r="942" spans="1:14" x14ac:dyDescent="0.25">
      <c r="A942" s="18">
        <v>45995</v>
      </c>
      <c r="B942" t="s">
        <v>289</v>
      </c>
      <c r="C942" t="s">
        <v>676</v>
      </c>
      <c r="D942" t="s">
        <v>677</v>
      </c>
      <c r="E942" t="s">
        <v>678</v>
      </c>
      <c r="F942" t="s">
        <v>21</v>
      </c>
      <c r="G942">
        <v>23</v>
      </c>
      <c r="H942">
        <v>128.5</v>
      </c>
      <c r="I942">
        <v>-2955500</v>
      </c>
      <c r="K942">
        <v>128.5</v>
      </c>
      <c r="L942">
        <v>-2955500</v>
      </c>
      <c r="M942" t="s">
        <v>677</v>
      </c>
      <c r="N942" t="s">
        <v>676</v>
      </c>
    </row>
    <row r="943" spans="1:14" x14ac:dyDescent="0.25">
      <c r="A943" s="18">
        <v>45995</v>
      </c>
      <c r="B943" t="s">
        <v>319</v>
      </c>
      <c r="C943" t="s">
        <v>533</v>
      </c>
      <c r="D943" t="s">
        <v>534</v>
      </c>
      <c r="E943" t="s">
        <v>535</v>
      </c>
      <c r="F943" t="s">
        <v>21</v>
      </c>
      <c r="G943">
        <v>-15</v>
      </c>
      <c r="H943">
        <v>123.73</v>
      </c>
      <c r="I943">
        <v>1855950</v>
      </c>
      <c r="K943">
        <v>123.73</v>
      </c>
      <c r="L943">
        <v>1855950</v>
      </c>
      <c r="M943" t="s">
        <v>534</v>
      </c>
      <c r="N943" t="s">
        <v>533</v>
      </c>
    </row>
    <row r="944" spans="1:14" x14ac:dyDescent="0.25">
      <c r="A944" s="18">
        <v>45995</v>
      </c>
      <c r="B944" t="s">
        <v>289</v>
      </c>
      <c r="C944" t="s">
        <v>679</v>
      </c>
      <c r="D944" t="s">
        <v>680</v>
      </c>
      <c r="E944" t="s">
        <v>681</v>
      </c>
      <c r="F944" t="s">
        <v>21</v>
      </c>
      <c r="G944">
        <v>15</v>
      </c>
      <c r="H944">
        <v>122.84</v>
      </c>
      <c r="I944">
        <v>-1842600.0000000002</v>
      </c>
      <c r="K944">
        <v>122.84000000000002</v>
      </c>
      <c r="L944">
        <v>-1842600.0000000002</v>
      </c>
      <c r="M944" t="s">
        <v>680</v>
      </c>
      <c r="N944" t="s">
        <v>679</v>
      </c>
    </row>
    <row r="945" spans="1:14" x14ac:dyDescent="0.25">
      <c r="A945" s="18">
        <v>45995</v>
      </c>
      <c r="B945" t="s">
        <v>289</v>
      </c>
      <c r="C945" t="s">
        <v>524</v>
      </c>
      <c r="D945" t="s">
        <v>525</v>
      </c>
      <c r="E945" t="s">
        <v>526</v>
      </c>
      <c r="F945" t="s">
        <v>21</v>
      </c>
      <c r="G945">
        <v>7</v>
      </c>
      <c r="H945">
        <v>122.05</v>
      </c>
      <c r="I945">
        <v>-854350</v>
      </c>
      <c r="K945">
        <v>122.05</v>
      </c>
      <c r="L945">
        <v>-854350</v>
      </c>
      <c r="M945" t="s">
        <v>525</v>
      </c>
      <c r="N945" t="s">
        <v>524</v>
      </c>
    </row>
    <row r="946" spans="1:14" x14ac:dyDescent="0.25">
      <c r="A946" s="18">
        <v>45995</v>
      </c>
      <c r="B946" t="s">
        <v>319</v>
      </c>
      <c r="C946" t="s">
        <v>682</v>
      </c>
      <c r="D946" t="s">
        <v>683</v>
      </c>
      <c r="E946" t="s">
        <v>684</v>
      </c>
      <c r="F946" t="s">
        <v>21</v>
      </c>
      <c r="G946">
        <v>-7</v>
      </c>
      <c r="H946">
        <v>121.08</v>
      </c>
      <c r="I946">
        <v>847560</v>
      </c>
      <c r="K946">
        <v>121.08</v>
      </c>
      <c r="L946">
        <v>847560</v>
      </c>
      <c r="M946" t="s">
        <v>683</v>
      </c>
      <c r="N946" t="s">
        <v>682</v>
      </c>
    </row>
    <row r="947" spans="1:14" x14ac:dyDescent="0.25">
      <c r="A947" s="18">
        <v>45995</v>
      </c>
      <c r="B947" t="s">
        <v>289</v>
      </c>
      <c r="C947" t="s">
        <v>542</v>
      </c>
      <c r="D947" t="s">
        <v>543</v>
      </c>
      <c r="E947" t="s">
        <v>544</v>
      </c>
      <c r="F947" t="s">
        <v>137</v>
      </c>
      <c r="G947">
        <v>4</v>
      </c>
      <c r="H947">
        <v>180.59</v>
      </c>
      <c r="I947">
        <v>-90295000</v>
      </c>
      <c r="K947">
        <v>180.59</v>
      </c>
      <c r="L947">
        <v>-90295000</v>
      </c>
      <c r="M947" t="s">
        <v>543</v>
      </c>
      <c r="N947" t="s">
        <v>542</v>
      </c>
    </row>
    <row r="948" spans="1:14" x14ac:dyDescent="0.25">
      <c r="A948" s="18">
        <v>45995</v>
      </c>
      <c r="B948" t="s">
        <v>319</v>
      </c>
      <c r="C948" t="s">
        <v>685</v>
      </c>
      <c r="D948" t="s">
        <v>686</v>
      </c>
      <c r="E948" t="s">
        <v>687</v>
      </c>
      <c r="F948" t="s">
        <v>137</v>
      </c>
      <c r="G948">
        <v>-4</v>
      </c>
      <c r="H948">
        <v>179.9</v>
      </c>
      <c r="I948">
        <v>89950000</v>
      </c>
      <c r="K948">
        <v>179.9</v>
      </c>
      <c r="L948">
        <v>89950000</v>
      </c>
      <c r="M948" t="s">
        <v>686</v>
      </c>
      <c r="N948" t="s">
        <v>685</v>
      </c>
    </row>
    <row r="949" spans="1:14" x14ac:dyDescent="0.25">
      <c r="A949" s="18">
        <v>45995</v>
      </c>
      <c r="B949" t="s">
        <v>289</v>
      </c>
      <c r="C949" t="s">
        <v>415</v>
      </c>
      <c r="D949" t="s">
        <v>416</v>
      </c>
      <c r="E949" t="s">
        <v>417</v>
      </c>
      <c r="F949" t="s">
        <v>157</v>
      </c>
      <c r="G949">
        <v>3300</v>
      </c>
      <c r="H949">
        <v>303.9742</v>
      </c>
      <c r="I949">
        <v>-1003114.86</v>
      </c>
      <c r="K949">
        <v>303.9742</v>
      </c>
      <c r="L949">
        <v>-1003114.86</v>
      </c>
      <c r="M949" t="s">
        <v>416</v>
      </c>
      <c r="N949" t="s">
        <v>415</v>
      </c>
    </row>
    <row r="950" spans="1:14" x14ac:dyDescent="0.25">
      <c r="A950" s="18">
        <v>45995</v>
      </c>
      <c r="B950" t="s">
        <v>289</v>
      </c>
      <c r="C950" t="s">
        <v>490</v>
      </c>
      <c r="D950" t="s">
        <v>491</v>
      </c>
      <c r="E950" t="s">
        <v>492</v>
      </c>
      <c r="F950" t="s">
        <v>21</v>
      </c>
      <c r="G950">
        <v>3200</v>
      </c>
      <c r="H950">
        <v>42.130600000000001</v>
      </c>
      <c r="I950">
        <v>-134817.92000000001</v>
      </c>
      <c r="K950">
        <v>42.130600000000001</v>
      </c>
      <c r="L950">
        <v>-134817.92000000001</v>
      </c>
      <c r="M950" t="s">
        <v>491</v>
      </c>
      <c r="N950" t="s">
        <v>490</v>
      </c>
    </row>
    <row r="951" spans="1:14" x14ac:dyDescent="0.25">
      <c r="A951" s="18">
        <v>45995</v>
      </c>
      <c r="B951" t="s">
        <v>319</v>
      </c>
      <c r="C951" t="s">
        <v>584</v>
      </c>
      <c r="D951" t="s">
        <v>585</v>
      </c>
      <c r="E951" t="s">
        <v>586</v>
      </c>
      <c r="F951" t="s">
        <v>36</v>
      </c>
      <c r="G951">
        <v>-2604</v>
      </c>
      <c r="H951">
        <v>135.9915</v>
      </c>
      <c r="I951">
        <v>354121.86599999998</v>
      </c>
      <c r="K951">
        <v>135.9915</v>
      </c>
      <c r="L951">
        <v>354121.86599999998</v>
      </c>
      <c r="M951" t="s">
        <v>585</v>
      </c>
      <c r="N951" t="s">
        <v>584</v>
      </c>
    </row>
    <row r="952" spans="1:14" x14ac:dyDescent="0.25">
      <c r="A952" s="18">
        <v>45995</v>
      </c>
      <c r="B952" t="s">
        <v>289</v>
      </c>
      <c r="C952" t="s">
        <v>688</v>
      </c>
      <c r="D952" t="s">
        <v>689</v>
      </c>
      <c r="E952" t="s">
        <v>690</v>
      </c>
      <c r="F952" t="s">
        <v>82</v>
      </c>
      <c r="G952">
        <v>2200</v>
      </c>
      <c r="H952">
        <v>57.319899999999997</v>
      </c>
      <c r="I952">
        <v>-126103.78</v>
      </c>
      <c r="K952">
        <v>57.319899999999997</v>
      </c>
      <c r="L952">
        <v>-126103.78</v>
      </c>
      <c r="M952" t="s">
        <v>689</v>
      </c>
      <c r="N952" t="s">
        <v>688</v>
      </c>
    </row>
    <row r="953" spans="1:14" x14ac:dyDescent="0.25">
      <c r="A953" s="18">
        <v>45995</v>
      </c>
      <c r="B953" t="s">
        <v>289</v>
      </c>
      <c r="C953" t="s">
        <v>318</v>
      </c>
      <c r="D953" t="s">
        <v>22</v>
      </c>
      <c r="E953" t="s">
        <v>23</v>
      </c>
      <c r="F953" t="s">
        <v>21</v>
      </c>
      <c r="G953">
        <v>3219</v>
      </c>
      <c r="H953">
        <v>23.2683</v>
      </c>
      <c r="I953">
        <v>-74900.657699999996</v>
      </c>
      <c r="K953">
        <v>23.2683</v>
      </c>
      <c r="L953">
        <v>-74900.657699999996</v>
      </c>
      <c r="M953" t="s">
        <v>22</v>
      </c>
      <c r="N953" t="s">
        <v>318</v>
      </c>
    </row>
    <row r="954" spans="1:14" x14ac:dyDescent="0.25">
      <c r="A954" s="18">
        <v>45995</v>
      </c>
      <c r="B954" t="s">
        <v>289</v>
      </c>
      <c r="C954" t="s">
        <v>490</v>
      </c>
      <c r="D954" t="s">
        <v>491</v>
      </c>
      <c r="E954" t="s">
        <v>492</v>
      </c>
      <c r="F954" t="s">
        <v>21</v>
      </c>
      <c r="G954">
        <v>2960</v>
      </c>
      <c r="H954">
        <v>42.14</v>
      </c>
      <c r="I954">
        <v>-124734.40000000001</v>
      </c>
      <c r="K954">
        <v>42.14</v>
      </c>
      <c r="L954">
        <v>-124734.40000000001</v>
      </c>
      <c r="M954" t="s">
        <v>491</v>
      </c>
      <c r="N954" t="s">
        <v>490</v>
      </c>
    </row>
    <row r="955" spans="1:14" x14ac:dyDescent="0.25">
      <c r="A955" s="18">
        <v>45996</v>
      </c>
      <c r="B955" t="s">
        <v>289</v>
      </c>
      <c r="C955" t="s">
        <v>328</v>
      </c>
      <c r="D955" t="s">
        <v>329</v>
      </c>
      <c r="E955" t="s">
        <v>330</v>
      </c>
      <c r="F955" t="s">
        <v>21</v>
      </c>
      <c r="G955">
        <v>49</v>
      </c>
      <c r="H955">
        <v>1527.5</v>
      </c>
      <c r="I955">
        <v>-74847.5</v>
      </c>
      <c r="K955">
        <v>1527.5</v>
      </c>
      <c r="L955">
        <v>-74847.5</v>
      </c>
      <c r="M955" t="s">
        <v>329</v>
      </c>
      <c r="N955" t="s">
        <v>328</v>
      </c>
    </row>
    <row r="956" spans="1:14" x14ac:dyDescent="0.25">
      <c r="A956" s="18">
        <v>45999</v>
      </c>
      <c r="B956" t="s">
        <v>319</v>
      </c>
      <c r="C956" t="s">
        <v>616</v>
      </c>
      <c r="D956" t="s">
        <v>617</v>
      </c>
      <c r="E956" t="s">
        <v>618</v>
      </c>
      <c r="F956" t="s">
        <v>21</v>
      </c>
      <c r="G956">
        <v>-7550</v>
      </c>
      <c r="H956">
        <v>59.25</v>
      </c>
      <c r="I956">
        <v>447337.5</v>
      </c>
      <c r="K956">
        <v>59.25</v>
      </c>
      <c r="L956">
        <v>447337.5</v>
      </c>
      <c r="M956" t="s">
        <v>617</v>
      </c>
      <c r="N956" t="s">
        <v>616</v>
      </c>
    </row>
    <row r="957" spans="1:14" x14ac:dyDescent="0.25">
      <c r="A957" s="18">
        <v>45999</v>
      </c>
      <c r="B957" t="s">
        <v>289</v>
      </c>
      <c r="C957" t="s">
        <v>557</v>
      </c>
      <c r="D957" t="s">
        <v>558</v>
      </c>
      <c r="E957" t="s">
        <v>559</v>
      </c>
      <c r="F957" t="s">
        <v>21</v>
      </c>
      <c r="G957">
        <v>7</v>
      </c>
      <c r="H957">
        <v>5724</v>
      </c>
      <c r="I957">
        <v>-400680</v>
      </c>
      <c r="K957">
        <v>5724</v>
      </c>
      <c r="L957">
        <v>-400680</v>
      </c>
      <c r="M957" t="s">
        <v>558</v>
      </c>
      <c r="N957" t="s">
        <v>557</v>
      </c>
    </row>
    <row r="958" spans="1:14" x14ac:dyDescent="0.25">
      <c r="A958" s="18">
        <v>45999</v>
      </c>
      <c r="B958" t="s">
        <v>319</v>
      </c>
      <c r="C958" t="s">
        <v>685</v>
      </c>
      <c r="D958" t="s">
        <v>686</v>
      </c>
      <c r="E958" t="s">
        <v>687</v>
      </c>
      <c r="F958" t="s">
        <v>137</v>
      </c>
      <c r="G958">
        <v>-3</v>
      </c>
      <c r="H958">
        <v>180.3433</v>
      </c>
      <c r="I958">
        <v>67628737.5</v>
      </c>
      <c r="K958">
        <v>180.3433</v>
      </c>
      <c r="L958">
        <v>67628737.5</v>
      </c>
      <c r="M958" t="s">
        <v>686</v>
      </c>
      <c r="N958" t="s">
        <v>685</v>
      </c>
    </row>
    <row r="959" spans="1:14" x14ac:dyDescent="0.25">
      <c r="A959" s="18">
        <v>46000</v>
      </c>
      <c r="B959" t="s">
        <v>319</v>
      </c>
      <c r="C959" t="s">
        <v>619</v>
      </c>
      <c r="D959" t="s">
        <v>620</v>
      </c>
      <c r="E959" t="s">
        <v>621</v>
      </c>
      <c r="F959" t="s">
        <v>21</v>
      </c>
      <c r="G959">
        <v>-495</v>
      </c>
      <c r="H959">
        <v>288.3</v>
      </c>
      <c r="I959">
        <v>142708.5</v>
      </c>
      <c r="K959">
        <v>288.3</v>
      </c>
      <c r="L959">
        <v>142708.5</v>
      </c>
      <c r="M959" t="s">
        <v>620</v>
      </c>
      <c r="N959" t="s">
        <v>619</v>
      </c>
    </row>
    <row r="960" spans="1:14" x14ac:dyDescent="0.25">
      <c r="A960" s="18">
        <v>46000</v>
      </c>
      <c r="B960" t="s">
        <v>319</v>
      </c>
      <c r="C960" t="s">
        <v>294</v>
      </c>
      <c r="D960" t="s">
        <v>80</v>
      </c>
      <c r="E960" t="s">
        <v>505</v>
      </c>
      <c r="F960" t="s">
        <v>82</v>
      </c>
      <c r="G960">
        <v>-1845</v>
      </c>
      <c r="H960">
        <v>75.22</v>
      </c>
      <c r="I960">
        <v>138780.9</v>
      </c>
      <c r="K960">
        <v>75.22</v>
      </c>
      <c r="L960">
        <v>138780.9</v>
      </c>
      <c r="M960" t="s">
        <v>80</v>
      </c>
      <c r="N960" t="s">
        <v>294</v>
      </c>
    </row>
    <row r="961" spans="1:14" x14ac:dyDescent="0.25">
      <c r="A961" s="18">
        <v>46000</v>
      </c>
      <c r="B961" t="s">
        <v>289</v>
      </c>
      <c r="C961" t="s">
        <v>484</v>
      </c>
      <c r="D961" t="s">
        <v>30</v>
      </c>
      <c r="E961" t="s">
        <v>31</v>
      </c>
      <c r="F961" t="s">
        <v>21</v>
      </c>
      <c r="G961">
        <v>857</v>
      </c>
      <c r="H961">
        <v>170.8485</v>
      </c>
      <c r="I961">
        <v>-146417.16450000001</v>
      </c>
      <c r="K961">
        <v>170.84850000000003</v>
      </c>
      <c r="L961">
        <v>-146417.16450000001</v>
      </c>
      <c r="M961" t="s">
        <v>30</v>
      </c>
      <c r="N961" t="s">
        <v>484</v>
      </c>
    </row>
    <row r="962" spans="1:14" x14ac:dyDescent="0.25">
      <c r="A962" s="18">
        <v>46000</v>
      </c>
      <c r="B962" t="s">
        <v>289</v>
      </c>
      <c r="C962" t="s">
        <v>635</v>
      </c>
      <c r="D962" t="s">
        <v>636</v>
      </c>
      <c r="E962" t="s">
        <v>637</v>
      </c>
      <c r="F962" t="s">
        <v>21</v>
      </c>
      <c r="G962">
        <v>3171</v>
      </c>
      <c r="H962">
        <v>73.95</v>
      </c>
      <c r="I962">
        <v>-234495.45</v>
      </c>
      <c r="K962">
        <v>73.95</v>
      </c>
      <c r="L962">
        <v>-234495.45</v>
      </c>
      <c r="M962" t="s">
        <v>636</v>
      </c>
      <c r="N962" t="s">
        <v>635</v>
      </c>
    </row>
    <row r="963" spans="1:14" x14ac:dyDescent="0.25">
      <c r="A963" s="18">
        <v>46000</v>
      </c>
      <c r="B963" t="s">
        <v>319</v>
      </c>
      <c r="C963" t="s">
        <v>342</v>
      </c>
      <c r="D963" t="s">
        <v>343</v>
      </c>
      <c r="E963" t="s">
        <v>282</v>
      </c>
      <c r="F963" t="s">
        <v>21</v>
      </c>
      <c r="G963">
        <v>-5599</v>
      </c>
      <c r="H963">
        <v>84.008600000000001</v>
      </c>
      <c r="I963">
        <v>470364.15140000003</v>
      </c>
      <c r="K963">
        <v>84.008600000000001</v>
      </c>
      <c r="L963">
        <v>470364.15140000003</v>
      </c>
      <c r="M963" t="s">
        <v>343</v>
      </c>
      <c r="N963" t="s">
        <v>342</v>
      </c>
    </row>
    <row r="964" spans="1:14" x14ac:dyDescent="0.25">
      <c r="A964" s="18">
        <v>46000</v>
      </c>
      <c r="B964" t="s">
        <v>289</v>
      </c>
      <c r="C964" t="s">
        <v>691</v>
      </c>
      <c r="D964" t="s">
        <v>692</v>
      </c>
      <c r="E964" t="s">
        <v>693</v>
      </c>
      <c r="F964" t="s">
        <v>49</v>
      </c>
      <c r="G964">
        <v>5185</v>
      </c>
      <c r="H964">
        <v>52.6676</v>
      </c>
      <c r="I964">
        <v>-273081.50599999999</v>
      </c>
      <c r="K964">
        <v>52.6676</v>
      </c>
      <c r="L964">
        <v>-273081.50599999999</v>
      </c>
      <c r="M964" t="s">
        <v>692</v>
      </c>
      <c r="N964" t="s">
        <v>691</v>
      </c>
    </row>
    <row r="965" spans="1:14" x14ac:dyDescent="0.25">
      <c r="A965" s="18">
        <v>46000</v>
      </c>
      <c r="B965" t="s">
        <v>319</v>
      </c>
      <c r="C965" t="s">
        <v>619</v>
      </c>
      <c r="D965" t="s">
        <v>620</v>
      </c>
      <c r="E965" t="s">
        <v>621</v>
      </c>
      <c r="F965" t="s">
        <v>21</v>
      </c>
      <c r="G965">
        <v>-330</v>
      </c>
      <c r="H965">
        <v>284.92950000000002</v>
      </c>
      <c r="I965">
        <v>94026.735000000001</v>
      </c>
      <c r="K965">
        <v>284.92950000000002</v>
      </c>
      <c r="L965">
        <v>94026.735000000001</v>
      </c>
      <c r="M965" t="s">
        <v>620</v>
      </c>
      <c r="N965" t="s">
        <v>619</v>
      </c>
    </row>
    <row r="966" spans="1:14" x14ac:dyDescent="0.25">
      <c r="A966" s="18">
        <v>46000</v>
      </c>
      <c r="B966" t="s">
        <v>289</v>
      </c>
      <c r="C966" t="s">
        <v>691</v>
      </c>
      <c r="D966" t="s">
        <v>692</v>
      </c>
      <c r="E966" t="s">
        <v>693</v>
      </c>
      <c r="F966" t="s">
        <v>49</v>
      </c>
      <c r="G966">
        <v>3285</v>
      </c>
      <c r="H966">
        <v>52.642699999999998</v>
      </c>
      <c r="I966">
        <v>-172931.26949999999</v>
      </c>
      <c r="K966">
        <v>52.642699999999998</v>
      </c>
      <c r="L966">
        <v>-172931.26949999999</v>
      </c>
      <c r="M966" t="s">
        <v>692</v>
      </c>
      <c r="N966" t="s">
        <v>691</v>
      </c>
    </row>
    <row r="967" spans="1:14" x14ac:dyDescent="0.25">
      <c r="A967" s="18">
        <v>46000</v>
      </c>
      <c r="B967" t="s">
        <v>289</v>
      </c>
      <c r="C967" t="s">
        <v>670</v>
      </c>
      <c r="D967" t="s">
        <v>671</v>
      </c>
      <c r="E967" t="s">
        <v>672</v>
      </c>
      <c r="F967" t="s">
        <v>21</v>
      </c>
      <c r="G967">
        <v>760</v>
      </c>
      <c r="H967">
        <v>122.84180000000001</v>
      </c>
      <c r="I967">
        <v>-93359.768000000011</v>
      </c>
      <c r="K967">
        <v>122.84180000000002</v>
      </c>
      <c r="L967">
        <v>-93359.768000000011</v>
      </c>
      <c r="M967" t="s">
        <v>671</v>
      </c>
      <c r="N967" t="s">
        <v>670</v>
      </c>
    </row>
    <row r="968" spans="1:14" x14ac:dyDescent="0.25">
      <c r="A968" s="18">
        <v>46000</v>
      </c>
      <c r="B968" t="s">
        <v>319</v>
      </c>
      <c r="C968" t="s">
        <v>294</v>
      </c>
      <c r="D968" t="s">
        <v>80</v>
      </c>
      <c r="E968" t="s">
        <v>505</v>
      </c>
      <c r="F968" t="s">
        <v>82</v>
      </c>
      <c r="G968">
        <v>-1850</v>
      </c>
      <c r="H968">
        <v>75.276899999999998</v>
      </c>
      <c r="I968">
        <v>139262.26499999998</v>
      </c>
      <c r="K968">
        <v>75.276899999999998</v>
      </c>
      <c r="L968">
        <v>139262.26499999998</v>
      </c>
      <c r="M968" t="s">
        <v>80</v>
      </c>
      <c r="N968" t="s">
        <v>294</v>
      </c>
    </row>
    <row r="969" spans="1:14" x14ac:dyDescent="0.25">
      <c r="A969" s="18">
        <v>46000</v>
      </c>
      <c r="B969" t="s">
        <v>319</v>
      </c>
      <c r="C969" t="s">
        <v>670</v>
      </c>
      <c r="D969" t="s">
        <v>671</v>
      </c>
      <c r="E969" t="s">
        <v>672</v>
      </c>
      <c r="F969" t="s">
        <v>21</v>
      </c>
      <c r="G969">
        <v>-1520</v>
      </c>
      <c r="H969">
        <v>123.3</v>
      </c>
      <c r="I969">
        <v>187416</v>
      </c>
      <c r="K969">
        <v>123.3</v>
      </c>
      <c r="L969">
        <v>187416</v>
      </c>
      <c r="M969" t="s">
        <v>671</v>
      </c>
      <c r="N969" t="s">
        <v>670</v>
      </c>
    </row>
    <row r="970" spans="1:14" x14ac:dyDescent="0.25">
      <c r="A970" s="18">
        <v>46001</v>
      </c>
      <c r="B970" t="s">
        <v>319</v>
      </c>
      <c r="C970" t="s">
        <v>294</v>
      </c>
      <c r="D970" t="s">
        <v>80</v>
      </c>
      <c r="E970" t="s">
        <v>505</v>
      </c>
      <c r="F970" t="s">
        <v>82</v>
      </c>
      <c r="G970">
        <v>-5884</v>
      </c>
      <c r="H970">
        <v>74.816800000000001</v>
      </c>
      <c r="I970">
        <v>440222.05119999999</v>
      </c>
      <c r="K970">
        <v>74.816800000000001</v>
      </c>
      <c r="L970">
        <v>440222.05119999999</v>
      </c>
      <c r="M970" t="s">
        <v>80</v>
      </c>
      <c r="N970" t="s">
        <v>294</v>
      </c>
    </row>
    <row r="971" spans="1:14" x14ac:dyDescent="0.25">
      <c r="A971" s="18">
        <v>46001</v>
      </c>
      <c r="B971" t="s">
        <v>289</v>
      </c>
      <c r="C971" t="s">
        <v>328</v>
      </c>
      <c r="D971" t="s">
        <v>329</v>
      </c>
      <c r="E971" t="s">
        <v>330</v>
      </c>
      <c r="F971" t="s">
        <v>21</v>
      </c>
      <c r="G971">
        <v>297</v>
      </c>
      <c r="H971">
        <v>1592.0572</v>
      </c>
      <c r="I971">
        <v>-472840.98839999997</v>
      </c>
      <c r="K971">
        <v>1592.0572</v>
      </c>
      <c r="L971">
        <v>-472840.98839999997</v>
      </c>
      <c r="M971" t="s">
        <v>329</v>
      </c>
      <c r="N971" t="s">
        <v>328</v>
      </c>
    </row>
    <row r="972" spans="1:14" x14ac:dyDescent="0.25">
      <c r="A972" s="18">
        <v>46001</v>
      </c>
      <c r="B972" t="s">
        <v>289</v>
      </c>
      <c r="C972" t="s">
        <v>587</v>
      </c>
      <c r="D972" t="s">
        <v>588</v>
      </c>
      <c r="E972" t="s">
        <v>589</v>
      </c>
      <c r="F972" t="s">
        <v>21</v>
      </c>
      <c r="G972">
        <v>16352</v>
      </c>
      <c r="H972">
        <v>14.7193</v>
      </c>
      <c r="I972">
        <v>-240689.99360000002</v>
      </c>
      <c r="K972">
        <v>14.7193</v>
      </c>
      <c r="L972">
        <v>-240689.99360000002</v>
      </c>
      <c r="M972" t="s">
        <v>588</v>
      </c>
      <c r="N972" t="s">
        <v>587</v>
      </c>
    </row>
    <row r="973" spans="1:14" x14ac:dyDescent="0.25">
      <c r="A973" s="18">
        <v>46001</v>
      </c>
      <c r="B973" t="s">
        <v>289</v>
      </c>
      <c r="C973" t="s">
        <v>694</v>
      </c>
      <c r="D973" t="s">
        <v>695</v>
      </c>
      <c r="E973" t="s">
        <v>696</v>
      </c>
      <c r="F973" t="s">
        <v>157</v>
      </c>
      <c r="G973">
        <v>4280</v>
      </c>
      <c r="H973">
        <v>420.58870000000002</v>
      </c>
      <c r="I973">
        <v>-1800119.6360000002</v>
      </c>
      <c r="K973">
        <v>420.58870000000002</v>
      </c>
      <c r="L973">
        <v>-1800119.6360000002</v>
      </c>
      <c r="M973" t="s">
        <v>695</v>
      </c>
      <c r="N973" t="s">
        <v>694</v>
      </c>
    </row>
    <row r="974" spans="1:14" x14ac:dyDescent="0.25">
      <c r="A974" s="18">
        <v>46001</v>
      </c>
      <c r="B974" t="s">
        <v>319</v>
      </c>
      <c r="C974" t="s">
        <v>316</v>
      </c>
      <c r="D974" t="s">
        <v>317</v>
      </c>
      <c r="E974" t="s">
        <v>274</v>
      </c>
      <c r="F974" t="s">
        <v>21</v>
      </c>
      <c r="G974">
        <v>-8238</v>
      </c>
      <c r="H974">
        <v>58.440300000000001</v>
      </c>
      <c r="I974">
        <v>481431.19140000001</v>
      </c>
      <c r="K974">
        <v>58.440300000000001</v>
      </c>
      <c r="L974">
        <v>481431.19140000001</v>
      </c>
      <c r="M974" t="s">
        <v>317</v>
      </c>
      <c r="N974" t="s">
        <v>316</v>
      </c>
    </row>
    <row r="975" spans="1:14" x14ac:dyDescent="0.25">
      <c r="A975" s="18">
        <v>46001</v>
      </c>
      <c r="B975" t="s">
        <v>319</v>
      </c>
      <c r="C975" t="s">
        <v>490</v>
      </c>
      <c r="D975" t="s">
        <v>491</v>
      </c>
      <c r="E975" t="s">
        <v>492</v>
      </c>
      <c r="F975" t="s">
        <v>21</v>
      </c>
      <c r="G975">
        <v>-3499</v>
      </c>
      <c r="H975">
        <v>43.11</v>
      </c>
      <c r="I975">
        <v>150841.88999999998</v>
      </c>
      <c r="K975">
        <v>43.109999999999992</v>
      </c>
      <c r="L975">
        <v>150841.88999999998</v>
      </c>
      <c r="M975" t="s">
        <v>491</v>
      </c>
      <c r="N975" t="s">
        <v>490</v>
      </c>
    </row>
    <row r="976" spans="1:14" x14ac:dyDescent="0.25">
      <c r="A976" s="18">
        <v>46001</v>
      </c>
      <c r="B976" t="s">
        <v>289</v>
      </c>
      <c r="C976" t="s">
        <v>688</v>
      </c>
      <c r="D976" t="s">
        <v>689</v>
      </c>
      <c r="E976" t="s">
        <v>690</v>
      </c>
      <c r="F976" t="s">
        <v>82</v>
      </c>
      <c r="G976">
        <v>2404</v>
      </c>
      <c r="H976">
        <v>58.6</v>
      </c>
      <c r="I976">
        <v>-140874.4</v>
      </c>
      <c r="K976">
        <v>58.599999999999994</v>
      </c>
      <c r="L976">
        <v>-140874.4</v>
      </c>
      <c r="M976" t="s">
        <v>689</v>
      </c>
      <c r="N976" t="s">
        <v>688</v>
      </c>
    </row>
    <row r="977" spans="1:14" x14ac:dyDescent="0.25">
      <c r="A977" s="18">
        <v>46001</v>
      </c>
      <c r="B977" t="s">
        <v>289</v>
      </c>
      <c r="C977" t="s">
        <v>697</v>
      </c>
      <c r="D977" t="s">
        <v>698</v>
      </c>
      <c r="E977" t="s">
        <v>699</v>
      </c>
      <c r="F977" t="s">
        <v>21</v>
      </c>
      <c r="G977">
        <v>2060</v>
      </c>
      <c r="H977">
        <v>72.900000000000006</v>
      </c>
      <c r="I977">
        <v>-150174</v>
      </c>
      <c r="K977">
        <v>72.900000000000006</v>
      </c>
      <c r="L977">
        <v>-150174</v>
      </c>
      <c r="M977" t="s">
        <v>698</v>
      </c>
      <c r="N977" t="s">
        <v>697</v>
      </c>
    </row>
    <row r="978" spans="1:14" x14ac:dyDescent="0.25">
      <c r="A978" s="18">
        <v>46001</v>
      </c>
      <c r="B978" t="s">
        <v>319</v>
      </c>
      <c r="C978" t="s">
        <v>325</v>
      </c>
      <c r="D978" t="s">
        <v>47</v>
      </c>
      <c r="E978" t="s">
        <v>48</v>
      </c>
      <c r="F978" t="s">
        <v>36</v>
      </c>
      <c r="G978">
        <v>-1400</v>
      </c>
      <c r="H978">
        <v>92.325699999999998</v>
      </c>
      <c r="I978">
        <v>129255.98</v>
      </c>
      <c r="K978">
        <v>92.325699999999998</v>
      </c>
      <c r="L978">
        <v>129255.98</v>
      </c>
      <c r="M978" t="s">
        <v>47</v>
      </c>
      <c r="N978" t="s">
        <v>325</v>
      </c>
    </row>
    <row r="979" spans="1:14" x14ac:dyDescent="0.25">
      <c r="A979" s="18">
        <v>46001</v>
      </c>
      <c r="B979" t="s">
        <v>319</v>
      </c>
      <c r="C979" t="s">
        <v>490</v>
      </c>
      <c r="D979" t="s">
        <v>491</v>
      </c>
      <c r="E979" t="s">
        <v>492</v>
      </c>
      <c r="F979" t="s">
        <v>21</v>
      </c>
      <c r="G979">
        <v>-2284</v>
      </c>
      <c r="H979">
        <v>43.125799999999998</v>
      </c>
      <c r="I979">
        <v>98499.3272</v>
      </c>
      <c r="K979">
        <v>43.125799999999998</v>
      </c>
      <c r="L979">
        <v>98499.3272</v>
      </c>
      <c r="M979" t="s">
        <v>491</v>
      </c>
      <c r="N979" t="s">
        <v>490</v>
      </c>
    </row>
    <row r="980" spans="1:14" x14ac:dyDescent="0.25">
      <c r="A980" s="18">
        <v>46001</v>
      </c>
      <c r="B980" t="s">
        <v>319</v>
      </c>
      <c r="C980" t="s">
        <v>415</v>
      </c>
      <c r="D980" t="s">
        <v>416</v>
      </c>
      <c r="E980" t="s">
        <v>417</v>
      </c>
      <c r="F980" t="s">
        <v>157</v>
      </c>
      <c r="G980">
        <v>-3300</v>
      </c>
      <c r="H980">
        <v>302.89999999999998</v>
      </c>
      <c r="I980">
        <v>999569.99999999988</v>
      </c>
      <c r="K980">
        <v>302.89999999999998</v>
      </c>
      <c r="L980">
        <v>999569.99999999988</v>
      </c>
      <c r="M980" t="s">
        <v>416</v>
      </c>
      <c r="N980" t="s">
        <v>415</v>
      </c>
    </row>
    <row r="981" spans="1:14" x14ac:dyDescent="0.25">
      <c r="A981" s="18">
        <v>46001</v>
      </c>
      <c r="B981" t="s">
        <v>289</v>
      </c>
      <c r="C981" t="s">
        <v>563</v>
      </c>
      <c r="D981" t="s">
        <v>564</v>
      </c>
      <c r="E981" t="s">
        <v>565</v>
      </c>
      <c r="F981" t="s">
        <v>21</v>
      </c>
      <c r="G981">
        <v>1</v>
      </c>
      <c r="H981">
        <v>24065</v>
      </c>
      <c r="I981">
        <v>-240650</v>
      </c>
      <c r="K981">
        <v>24065</v>
      </c>
      <c r="L981">
        <v>-240650</v>
      </c>
      <c r="M981" t="s">
        <v>564</v>
      </c>
      <c r="N981" t="s">
        <v>563</v>
      </c>
    </row>
    <row r="982" spans="1:14" x14ac:dyDescent="0.25">
      <c r="A982" s="18">
        <v>46001</v>
      </c>
      <c r="B982" t="s">
        <v>289</v>
      </c>
      <c r="C982" t="s">
        <v>697</v>
      </c>
      <c r="D982" t="s">
        <v>698</v>
      </c>
      <c r="E982" t="s">
        <v>699</v>
      </c>
      <c r="F982" t="s">
        <v>21</v>
      </c>
      <c r="G982">
        <v>2025</v>
      </c>
      <c r="H982">
        <v>73</v>
      </c>
      <c r="I982">
        <v>-147825</v>
      </c>
      <c r="K982">
        <v>73</v>
      </c>
      <c r="L982">
        <v>-147825</v>
      </c>
      <c r="M982" t="s">
        <v>698</v>
      </c>
      <c r="N982" t="s">
        <v>697</v>
      </c>
    </row>
    <row r="983" spans="1:14" x14ac:dyDescent="0.25">
      <c r="A983" s="18">
        <v>46001</v>
      </c>
      <c r="B983" t="s">
        <v>319</v>
      </c>
      <c r="C983" t="s">
        <v>325</v>
      </c>
      <c r="D983" t="s">
        <v>47</v>
      </c>
      <c r="E983" t="s">
        <v>48</v>
      </c>
      <c r="F983" t="s">
        <v>36</v>
      </c>
      <c r="G983">
        <v>-1400</v>
      </c>
      <c r="H983">
        <v>92.310299999999998</v>
      </c>
      <c r="I983">
        <v>129234.42</v>
      </c>
      <c r="K983">
        <v>92.310299999999998</v>
      </c>
      <c r="L983">
        <v>129234.42</v>
      </c>
      <c r="M983" t="s">
        <v>47</v>
      </c>
      <c r="N983" t="s">
        <v>325</v>
      </c>
    </row>
    <row r="984" spans="1:14" x14ac:dyDescent="0.25">
      <c r="A984" s="18">
        <v>46001</v>
      </c>
      <c r="B984" t="s">
        <v>319</v>
      </c>
      <c r="C984" t="s">
        <v>482</v>
      </c>
      <c r="D984" t="s">
        <v>483</v>
      </c>
      <c r="E984" t="s">
        <v>269</v>
      </c>
      <c r="F984" t="s">
        <v>49</v>
      </c>
      <c r="G984">
        <v>-2685</v>
      </c>
      <c r="H984">
        <v>103.40649999999999</v>
      </c>
      <c r="I984">
        <v>277646.45249999996</v>
      </c>
      <c r="K984">
        <v>103.40649999999998</v>
      </c>
      <c r="L984">
        <v>277646.45249999996</v>
      </c>
      <c r="M984" t="s">
        <v>483</v>
      </c>
      <c r="N984" t="s">
        <v>482</v>
      </c>
    </row>
    <row r="985" spans="1:14" x14ac:dyDescent="0.25">
      <c r="A985" s="18">
        <v>46001</v>
      </c>
      <c r="B985" t="s">
        <v>289</v>
      </c>
      <c r="C985" t="s">
        <v>548</v>
      </c>
      <c r="D985" t="s">
        <v>549</v>
      </c>
      <c r="E985" t="s">
        <v>550</v>
      </c>
      <c r="F985" t="s">
        <v>21</v>
      </c>
      <c r="G985">
        <v>26599</v>
      </c>
      <c r="H985">
        <v>3.794</v>
      </c>
      <c r="I985">
        <v>-100916.606</v>
      </c>
      <c r="K985">
        <v>3.794</v>
      </c>
      <c r="L985">
        <v>-100916.606</v>
      </c>
      <c r="M985" t="s">
        <v>549</v>
      </c>
      <c r="N985" t="s">
        <v>548</v>
      </c>
    </row>
    <row r="986" spans="1:14" x14ac:dyDescent="0.25">
      <c r="A986" s="18">
        <v>46001</v>
      </c>
      <c r="B986" t="s">
        <v>289</v>
      </c>
      <c r="C986" t="s">
        <v>700</v>
      </c>
      <c r="D986" t="s">
        <v>68</v>
      </c>
      <c r="E986" t="s">
        <v>701</v>
      </c>
      <c r="F986" t="s">
        <v>49</v>
      </c>
      <c r="G986">
        <v>1236</v>
      </c>
      <c r="H986">
        <v>93.886799999999994</v>
      </c>
      <c r="I986">
        <v>-116044.0848</v>
      </c>
      <c r="K986">
        <v>93.886799999999994</v>
      </c>
      <c r="L986">
        <v>-116044.0848</v>
      </c>
      <c r="M986" t="s">
        <v>68</v>
      </c>
      <c r="N986" t="s">
        <v>700</v>
      </c>
    </row>
    <row r="987" spans="1:14" x14ac:dyDescent="0.25">
      <c r="A987" s="18">
        <v>46002</v>
      </c>
      <c r="B987" t="s">
        <v>289</v>
      </c>
      <c r="C987" t="s">
        <v>694</v>
      </c>
      <c r="D987" t="s">
        <v>695</v>
      </c>
      <c r="E987" t="s">
        <v>696</v>
      </c>
      <c r="F987" t="s">
        <v>157</v>
      </c>
      <c r="G987">
        <v>1800</v>
      </c>
      <c r="H987">
        <v>411.6</v>
      </c>
      <c r="I987">
        <v>-740880</v>
      </c>
      <c r="K987">
        <v>411.6</v>
      </c>
      <c r="L987">
        <v>-740880</v>
      </c>
      <c r="M987" t="s">
        <v>695</v>
      </c>
      <c r="N987" t="s">
        <v>694</v>
      </c>
    </row>
    <row r="988" spans="1:14" x14ac:dyDescent="0.25">
      <c r="A988" s="18">
        <v>46002</v>
      </c>
      <c r="B988" t="s">
        <v>319</v>
      </c>
      <c r="C988" t="s">
        <v>619</v>
      </c>
      <c r="D988" t="s">
        <v>620</v>
      </c>
      <c r="E988" t="s">
        <v>621</v>
      </c>
      <c r="F988" t="s">
        <v>21</v>
      </c>
      <c r="G988">
        <v>-232</v>
      </c>
      <c r="H988">
        <v>285.71769999999998</v>
      </c>
      <c r="I988">
        <v>66286.506399999998</v>
      </c>
      <c r="K988">
        <v>285.71769999999998</v>
      </c>
      <c r="L988">
        <v>66286.506399999998</v>
      </c>
      <c r="M988" t="s">
        <v>620</v>
      </c>
      <c r="N988" t="s">
        <v>619</v>
      </c>
    </row>
    <row r="989" spans="1:14" x14ac:dyDescent="0.25">
      <c r="A989" s="18">
        <v>46002</v>
      </c>
      <c r="B989" t="s">
        <v>289</v>
      </c>
      <c r="C989" t="s">
        <v>697</v>
      </c>
      <c r="D989" t="s">
        <v>698</v>
      </c>
      <c r="E989" t="s">
        <v>699</v>
      </c>
      <c r="F989" t="s">
        <v>21</v>
      </c>
      <c r="G989">
        <v>2061</v>
      </c>
      <c r="H989">
        <v>73.034999999999997</v>
      </c>
      <c r="I989">
        <v>-150525.13499999998</v>
      </c>
      <c r="K989">
        <v>73.034999999999997</v>
      </c>
      <c r="L989">
        <v>-150525.13499999998</v>
      </c>
      <c r="M989" t="s">
        <v>698</v>
      </c>
      <c r="N989" t="s">
        <v>697</v>
      </c>
    </row>
    <row r="990" spans="1:14" x14ac:dyDescent="0.25">
      <c r="A990" s="18">
        <v>46002</v>
      </c>
      <c r="B990" t="s">
        <v>289</v>
      </c>
      <c r="C990" t="s">
        <v>493</v>
      </c>
      <c r="D990" t="s">
        <v>28</v>
      </c>
      <c r="E990" t="s">
        <v>29</v>
      </c>
      <c r="F990" t="s">
        <v>21</v>
      </c>
      <c r="G990">
        <v>642</v>
      </c>
      <c r="H990">
        <v>239.9742</v>
      </c>
      <c r="I990">
        <v>-154063.43640000001</v>
      </c>
      <c r="K990">
        <v>239.9742</v>
      </c>
      <c r="L990">
        <v>-154063.43640000001</v>
      </c>
      <c r="M990" t="s">
        <v>28</v>
      </c>
      <c r="N990" t="s">
        <v>493</v>
      </c>
    </row>
    <row r="991" spans="1:14" x14ac:dyDescent="0.25">
      <c r="A991" s="18">
        <v>46002</v>
      </c>
      <c r="B991" t="s">
        <v>319</v>
      </c>
      <c r="C991" t="s">
        <v>421</v>
      </c>
      <c r="D991" t="s">
        <v>422</v>
      </c>
      <c r="E991" t="s">
        <v>423</v>
      </c>
      <c r="F991" t="s">
        <v>49</v>
      </c>
      <c r="G991">
        <v>-1400</v>
      </c>
      <c r="H991">
        <v>84.060500000000005</v>
      </c>
      <c r="I991">
        <v>117684.70000000001</v>
      </c>
      <c r="K991">
        <v>84.060500000000005</v>
      </c>
      <c r="L991">
        <v>117684.70000000001</v>
      </c>
      <c r="M991" t="s">
        <v>422</v>
      </c>
      <c r="N991" t="s">
        <v>421</v>
      </c>
    </row>
    <row r="992" spans="1:14" x14ac:dyDescent="0.25">
      <c r="A992" s="18">
        <v>46002</v>
      </c>
      <c r="B992" t="s">
        <v>289</v>
      </c>
      <c r="C992" t="s">
        <v>702</v>
      </c>
      <c r="D992" t="s">
        <v>703</v>
      </c>
      <c r="E992" t="s">
        <v>704</v>
      </c>
      <c r="F992" t="s">
        <v>21</v>
      </c>
      <c r="G992">
        <v>520</v>
      </c>
      <c r="H992">
        <v>192.79</v>
      </c>
      <c r="I992">
        <v>-100250.8</v>
      </c>
      <c r="K992">
        <v>192.79</v>
      </c>
      <c r="L992">
        <v>-100250.8</v>
      </c>
      <c r="M992" t="s">
        <v>703</v>
      </c>
      <c r="N992" t="s">
        <v>702</v>
      </c>
    </row>
    <row r="993" spans="1:14" x14ac:dyDescent="0.25">
      <c r="A993" s="18">
        <v>46002</v>
      </c>
      <c r="B993" t="s">
        <v>289</v>
      </c>
      <c r="C993" t="s">
        <v>694</v>
      </c>
      <c r="D993" t="s">
        <v>695</v>
      </c>
      <c r="E993" t="s">
        <v>696</v>
      </c>
      <c r="F993" t="s">
        <v>157</v>
      </c>
      <c r="G993">
        <v>893</v>
      </c>
      <c r="H993">
        <v>407.1</v>
      </c>
      <c r="I993">
        <v>-363540.30000000005</v>
      </c>
      <c r="K993">
        <v>407.10000000000008</v>
      </c>
      <c r="L993">
        <v>-363540.30000000005</v>
      </c>
      <c r="M993" t="s">
        <v>695</v>
      </c>
      <c r="N993" t="s">
        <v>694</v>
      </c>
    </row>
    <row r="994" spans="1:14" x14ac:dyDescent="0.25">
      <c r="A994" s="18">
        <v>46002</v>
      </c>
      <c r="B994" t="s">
        <v>319</v>
      </c>
      <c r="C994" t="s">
        <v>314</v>
      </c>
      <c r="D994" t="s">
        <v>315</v>
      </c>
      <c r="E994" t="s">
        <v>362</v>
      </c>
      <c r="F994" t="s">
        <v>21</v>
      </c>
      <c r="G994">
        <v>-7100</v>
      </c>
      <c r="H994">
        <v>28.808800000000002</v>
      </c>
      <c r="I994">
        <v>204542.48</v>
      </c>
      <c r="K994">
        <v>28.808800000000002</v>
      </c>
      <c r="L994">
        <v>204542.48</v>
      </c>
      <c r="M994" t="s">
        <v>315</v>
      </c>
      <c r="N994" t="s">
        <v>314</v>
      </c>
    </row>
    <row r="995" spans="1:14" x14ac:dyDescent="0.25">
      <c r="A995" s="18">
        <v>46002</v>
      </c>
      <c r="B995" t="s">
        <v>289</v>
      </c>
      <c r="C995" t="s">
        <v>697</v>
      </c>
      <c r="D995" t="s">
        <v>698</v>
      </c>
      <c r="E995" t="s">
        <v>699</v>
      </c>
      <c r="F995" t="s">
        <v>21</v>
      </c>
      <c r="G995">
        <v>687</v>
      </c>
      <c r="H995">
        <v>73</v>
      </c>
      <c r="I995">
        <v>-50151</v>
      </c>
      <c r="K995">
        <v>73</v>
      </c>
      <c r="L995">
        <v>-50151</v>
      </c>
      <c r="M995" t="s">
        <v>698</v>
      </c>
      <c r="N995" t="s">
        <v>697</v>
      </c>
    </row>
    <row r="996" spans="1:14" x14ac:dyDescent="0.25">
      <c r="A996" s="18">
        <v>46002</v>
      </c>
      <c r="B996" t="s">
        <v>289</v>
      </c>
      <c r="C996" t="s">
        <v>702</v>
      </c>
      <c r="D996" t="s">
        <v>703</v>
      </c>
      <c r="E996" t="s">
        <v>704</v>
      </c>
      <c r="F996" t="s">
        <v>21</v>
      </c>
      <c r="G996">
        <v>773</v>
      </c>
      <c r="H996">
        <v>192.53</v>
      </c>
      <c r="I996">
        <v>-148825.69</v>
      </c>
      <c r="K996">
        <v>192.53</v>
      </c>
      <c r="L996">
        <v>-148825.69</v>
      </c>
      <c r="M996" t="s">
        <v>703</v>
      </c>
      <c r="N996" t="s">
        <v>702</v>
      </c>
    </row>
    <row r="997" spans="1:14" x14ac:dyDescent="0.25">
      <c r="A997" s="18">
        <v>46002</v>
      </c>
      <c r="B997" t="s">
        <v>319</v>
      </c>
      <c r="C997" t="s">
        <v>325</v>
      </c>
      <c r="D997" t="s">
        <v>47</v>
      </c>
      <c r="E997" t="s">
        <v>48</v>
      </c>
      <c r="F997" t="s">
        <v>36</v>
      </c>
      <c r="G997">
        <v>-1421</v>
      </c>
      <c r="H997">
        <v>93.26</v>
      </c>
      <c r="I997">
        <v>132522.46000000002</v>
      </c>
      <c r="K997">
        <v>93.260000000000019</v>
      </c>
      <c r="L997">
        <v>132522.46000000002</v>
      </c>
      <c r="M997" t="s">
        <v>47</v>
      </c>
      <c r="N997" t="s">
        <v>325</v>
      </c>
    </row>
    <row r="998" spans="1:14" x14ac:dyDescent="0.25">
      <c r="A998" s="18">
        <v>46002</v>
      </c>
      <c r="B998" t="s">
        <v>289</v>
      </c>
      <c r="C998" t="s">
        <v>358</v>
      </c>
      <c r="D998" t="s">
        <v>359</v>
      </c>
      <c r="E998" t="s">
        <v>360</v>
      </c>
      <c r="F998" t="s">
        <v>21</v>
      </c>
      <c r="G998">
        <v>2488</v>
      </c>
      <c r="H998">
        <v>18.553000000000001</v>
      </c>
      <c r="I998">
        <v>-46159.864000000001</v>
      </c>
      <c r="K998">
        <v>18.553000000000001</v>
      </c>
      <c r="L998">
        <v>-46159.864000000001</v>
      </c>
      <c r="M998" t="s">
        <v>359</v>
      </c>
      <c r="N998" t="s">
        <v>358</v>
      </c>
    </row>
    <row r="999" spans="1:14" x14ac:dyDescent="0.25">
      <c r="A999" s="18">
        <v>46002</v>
      </c>
      <c r="B999" t="s">
        <v>319</v>
      </c>
      <c r="C999" t="s">
        <v>638</v>
      </c>
      <c r="D999" t="s">
        <v>639</v>
      </c>
      <c r="E999" t="s">
        <v>640</v>
      </c>
      <c r="F999" t="s">
        <v>49</v>
      </c>
      <c r="G999">
        <v>-259</v>
      </c>
      <c r="H999">
        <v>337.92140000000001</v>
      </c>
      <c r="I999">
        <v>87521.642600000006</v>
      </c>
      <c r="K999">
        <v>337.92140000000001</v>
      </c>
      <c r="L999">
        <v>87521.642600000006</v>
      </c>
      <c r="M999" t="s">
        <v>639</v>
      </c>
      <c r="N999" t="s">
        <v>638</v>
      </c>
    </row>
    <row r="1000" spans="1:14" x14ac:dyDescent="0.25">
      <c r="A1000" s="18">
        <v>46003</v>
      </c>
      <c r="B1000" t="s">
        <v>289</v>
      </c>
      <c r="C1000" t="s">
        <v>587</v>
      </c>
      <c r="D1000" t="s">
        <v>588</v>
      </c>
      <c r="E1000" t="s">
        <v>589</v>
      </c>
      <c r="F1000" t="s">
        <v>21</v>
      </c>
      <c r="G1000">
        <v>6700</v>
      </c>
      <c r="H1000">
        <v>14.7056</v>
      </c>
      <c r="I1000">
        <v>-98527.52</v>
      </c>
      <c r="K1000">
        <v>14.7056</v>
      </c>
      <c r="L1000">
        <v>-98527.52</v>
      </c>
      <c r="M1000" t="s">
        <v>588</v>
      </c>
      <c r="N1000" t="s">
        <v>587</v>
      </c>
    </row>
    <row r="1001" spans="1:14" x14ac:dyDescent="0.25">
      <c r="A1001" s="18">
        <v>46003</v>
      </c>
      <c r="B1001" t="s">
        <v>319</v>
      </c>
      <c r="C1001" t="s">
        <v>651</v>
      </c>
      <c r="D1001" t="s">
        <v>652</v>
      </c>
      <c r="E1001" t="s">
        <v>653</v>
      </c>
      <c r="F1001" t="s">
        <v>36</v>
      </c>
      <c r="G1001">
        <v>-19244</v>
      </c>
      <c r="H1001">
        <v>4.4234999999999998</v>
      </c>
      <c r="I1001">
        <v>85125.834000000003</v>
      </c>
      <c r="K1001">
        <v>4.4234999999999998</v>
      </c>
      <c r="L1001">
        <v>85125.834000000003</v>
      </c>
      <c r="M1001" t="s">
        <v>652</v>
      </c>
      <c r="N1001" t="s">
        <v>651</v>
      </c>
    </row>
    <row r="1002" spans="1:14" x14ac:dyDescent="0.25">
      <c r="A1002" s="18">
        <v>46003</v>
      </c>
      <c r="B1002" t="s">
        <v>289</v>
      </c>
      <c r="C1002" t="s">
        <v>361</v>
      </c>
      <c r="D1002" t="s">
        <v>93</v>
      </c>
      <c r="E1002" t="s">
        <v>94</v>
      </c>
      <c r="F1002" t="s">
        <v>21</v>
      </c>
      <c r="G1002">
        <v>1220</v>
      </c>
      <c r="H1002">
        <v>121.8</v>
      </c>
      <c r="I1002">
        <v>-148596</v>
      </c>
      <c r="K1002">
        <v>121.8</v>
      </c>
      <c r="L1002">
        <v>-148596</v>
      </c>
      <c r="M1002" t="s">
        <v>93</v>
      </c>
      <c r="N1002" t="s">
        <v>361</v>
      </c>
    </row>
    <row r="1003" spans="1:14" x14ac:dyDescent="0.25">
      <c r="A1003" s="18">
        <v>46003</v>
      </c>
      <c r="B1003" t="s">
        <v>289</v>
      </c>
      <c r="C1003" t="s">
        <v>358</v>
      </c>
      <c r="D1003" t="s">
        <v>359</v>
      </c>
      <c r="E1003" t="s">
        <v>360</v>
      </c>
      <c r="F1003" t="s">
        <v>21</v>
      </c>
      <c r="G1003">
        <v>2953</v>
      </c>
      <c r="H1003">
        <v>18.700399999999998</v>
      </c>
      <c r="I1003">
        <v>-55222.281199999998</v>
      </c>
      <c r="K1003">
        <v>18.700399999999998</v>
      </c>
      <c r="L1003">
        <v>-55222.281199999998</v>
      </c>
      <c r="M1003" t="s">
        <v>359</v>
      </c>
      <c r="N1003" t="s">
        <v>358</v>
      </c>
    </row>
    <row r="1004" spans="1:14" x14ac:dyDescent="0.25">
      <c r="A1004" s="18">
        <v>46006</v>
      </c>
      <c r="B1004" t="s">
        <v>289</v>
      </c>
      <c r="C1004" t="s">
        <v>477</v>
      </c>
      <c r="D1004" t="s">
        <v>478</v>
      </c>
      <c r="E1004" t="s">
        <v>277</v>
      </c>
      <c r="F1004" t="s">
        <v>157</v>
      </c>
      <c r="G1004">
        <v>2150</v>
      </c>
      <c r="H1004">
        <v>173.95</v>
      </c>
      <c r="I1004">
        <v>-373992.5</v>
      </c>
      <c r="K1004">
        <v>173.95</v>
      </c>
      <c r="L1004">
        <v>-373992.5</v>
      </c>
      <c r="M1004" t="s">
        <v>478</v>
      </c>
      <c r="N1004" t="s">
        <v>477</v>
      </c>
    </row>
    <row r="1005" spans="1:14" x14ac:dyDescent="0.25">
      <c r="A1005" s="18">
        <v>46006</v>
      </c>
      <c r="B1005" t="s">
        <v>319</v>
      </c>
      <c r="C1005" t="s">
        <v>635</v>
      </c>
      <c r="D1005" t="s">
        <v>636</v>
      </c>
      <c r="E1005" t="s">
        <v>637</v>
      </c>
      <c r="F1005" t="s">
        <v>21</v>
      </c>
      <c r="G1005">
        <v>-4655</v>
      </c>
      <c r="H1005">
        <v>75.099999999999994</v>
      </c>
      <c r="I1005">
        <v>349590.5</v>
      </c>
      <c r="K1005">
        <v>75.099999999999994</v>
      </c>
      <c r="L1005">
        <v>349590.5</v>
      </c>
      <c r="M1005" t="s">
        <v>636</v>
      </c>
      <c r="N1005" t="s">
        <v>635</v>
      </c>
    </row>
    <row r="1006" spans="1:14" x14ac:dyDescent="0.25">
      <c r="A1006" s="18">
        <v>46006</v>
      </c>
      <c r="B1006" t="s">
        <v>289</v>
      </c>
      <c r="C1006" t="s">
        <v>551</v>
      </c>
      <c r="D1006" t="s">
        <v>552</v>
      </c>
      <c r="E1006" t="s">
        <v>553</v>
      </c>
      <c r="F1006" t="s">
        <v>21</v>
      </c>
      <c r="G1006">
        <v>2807</v>
      </c>
      <c r="H1006">
        <v>44.521999999999998</v>
      </c>
      <c r="I1006">
        <v>-124973.254</v>
      </c>
      <c r="K1006">
        <v>44.521999999999998</v>
      </c>
      <c r="L1006">
        <v>-124973.254</v>
      </c>
      <c r="M1006" t="s">
        <v>552</v>
      </c>
      <c r="N1006" t="s">
        <v>551</v>
      </c>
    </row>
    <row r="1007" spans="1:14" x14ac:dyDescent="0.25">
      <c r="A1007" s="18">
        <v>46006</v>
      </c>
      <c r="B1007" t="s">
        <v>319</v>
      </c>
      <c r="C1007" t="s">
        <v>490</v>
      </c>
      <c r="D1007" t="s">
        <v>491</v>
      </c>
      <c r="E1007" t="s">
        <v>492</v>
      </c>
      <c r="F1007" t="s">
        <v>21</v>
      </c>
      <c r="G1007">
        <v>-3306</v>
      </c>
      <c r="H1007">
        <v>44.51</v>
      </c>
      <c r="I1007">
        <v>147150.06</v>
      </c>
      <c r="K1007">
        <v>44.51</v>
      </c>
      <c r="L1007">
        <v>147150.06</v>
      </c>
      <c r="M1007" t="s">
        <v>491</v>
      </c>
      <c r="N1007" t="s">
        <v>490</v>
      </c>
    </row>
    <row r="1008" spans="1:14" x14ac:dyDescent="0.25">
      <c r="A1008" s="18">
        <v>46006</v>
      </c>
      <c r="B1008" t="s">
        <v>289</v>
      </c>
      <c r="C1008" t="s">
        <v>323</v>
      </c>
      <c r="D1008" t="s">
        <v>39</v>
      </c>
      <c r="E1008" t="s">
        <v>40</v>
      </c>
      <c r="F1008" t="s">
        <v>36</v>
      </c>
      <c r="G1008">
        <v>3745</v>
      </c>
      <c r="H1008">
        <v>29.342500000000001</v>
      </c>
      <c r="I1008">
        <v>-109887.66250000001</v>
      </c>
      <c r="K1008">
        <v>29.342500000000001</v>
      </c>
      <c r="L1008">
        <v>-109887.66250000001</v>
      </c>
      <c r="M1008" t="s">
        <v>39</v>
      </c>
      <c r="N1008" t="s">
        <v>323</v>
      </c>
    </row>
    <row r="1009" spans="1:14" x14ac:dyDescent="0.25">
      <c r="A1009" s="18">
        <v>46006</v>
      </c>
      <c r="B1009" t="s">
        <v>289</v>
      </c>
      <c r="C1009" t="s">
        <v>705</v>
      </c>
      <c r="D1009" t="s">
        <v>706</v>
      </c>
      <c r="E1009" t="s">
        <v>707</v>
      </c>
      <c r="F1009" t="s">
        <v>21</v>
      </c>
      <c r="G1009">
        <v>1</v>
      </c>
      <c r="H1009">
        <v>24446</v>
      </c>
      <c r="I1009">
        <v>-244460</v>
      </c>
      <c r="K1009">
        <v>24446</v>
      </c>
      <c r="L1009">
        <v>-244460</v>
      </c>
      <c r="M1009" t="s">
        <v>706</v>
      </c>
      <c r="N1009" t="s">
        <v>705</v>
      </c>
    </row>
    <row r="1010" spans="1:14" x14ac:dyDescent="0.25">
      <c r="A1010" s="18">
        <v>46006</v>
      </c>
      <c r="B1010" t="s">
        <v>319</v>
      </c>
      <c r="C1010" t="s">
        <v>599</v>
      </c>
      <c r="D1010" t="s">
        <v>600</v>
      </c>
      <c r="E1010" t="s">
        <v>601</v>
      </c>
      <c r="F1010" t="s">
        <v>21</v>
      </c>
      <c r="G1010">
        <v>-331</v>
      </c>
      <c r="H1010">
        <v>373.37</v>
      </c>
      <c r="I1010">
        <v>123585.47</v>
      </c>
      <c r="K1010">
        <v>373.37</v>
      </c>
      <c r="L1010">
        <v>123585.47</v>
      </c>
      <c r="M1010" t="s">
        <v>600</v>
      </c>
      <c r="N1010" t="s">
        <v>599</v>
      </c>
    </row>
    <row r="1011" spans="1:14" x14ac:dyDescent="0.25">
      <c r="A1011" s="18">
        <v>46006</v>
      </c>
      <c r="B1011" t="s">
        <v>289</v>
      </c>
      <c r="C1011" t="s">
        <v>587</v>
      </c>
      <c r="D1011" t="s">
        <v>588</v>
      </c>
      <c r="E1011" t="s">
        <v>589</v>
      </c>
      <c r="F1011" t="s">
        <v>21</v>
      </c>
      <c r="G1011">
        <v>8430</v>
      </c>
      <c r="H1011">
        <v>14.5487</v>
      </c>
      <c r="I1011">
        <v>-122645.541</v>
      </c>
      <c r="K1011">
        <v>14.5487</v>
      </c>
      <c r="L1011">
        <v>-122645.541</v>
      </c>
      <c r="M1011" t="s">
        <v>588</v>
      </c>
      <c r="N1011" t="s">
        <v>587</v>
      </c>
    </row>
    <row r="1012" spans="1:14" x14ac:dyDescent="0.25">
      <c r="A1012" s="18">
        <v>46006</v>
      </c>
      <c r="B1012" t="s">
        <v>289</v>
      </c>
      <c r="C1012" t="s">
        <v>358</v>
      </c>
      <c r="D1012" t="s">
        <v>359</v>
      </c>
      <c r="E1012" t="s">
        <v>360</v>
      </c>
      <c r="F1012" t="s">
        <v>21</v>
      </c>
      <c r="G1012">
        <v>2680</v>
      </c>
      <c r="H1012">
        <v>18.7605</v>
      </c>
      <c r="I1012">
        <v>-50278.14</v>
      </c>
      <c r="K1012">
        <v>18.7605</v>
      </c>
      <c r="L1012">
        <v>-50278.14</v>
      </c>
      <c r="M1012" t="s">
        <v>359</v>
      </c>
      <c r="N1012" t="s">
        <v>358</v>
      </c>
    </row>
    <row r="1013" spans="1:14" x14ac:dyDescent="0.25">
      <c r="A1013" s="18">
        <v>46006</v>
      </c>
      <c r="B1013" t="s">
        <v>289</v>
      </c>
      <c r="C1013" t="s">
        <v>702</v>
      </c>
      <c r="D1013" t="s">
        <v>703</v>
      </c>
      <c r="E1013" t="s">
        <v>704</v>
      </c>
      <c r="F1013" t="s">
        <v>21</v>
      </c>
      <c r="G1013">
        <v>258</v>
      </c>
      <c r="H1013">
        <v>195.88</v>
      </c>
      <c r="I1013">
        <v>-50537.04</v>
      </c>
      <c r="K1013">
        <v>195.88</v>
      </c>
      <c r="L1013">
        <v>-50537.04</v>
      </c>
      <c r="M1013" t="s">
        <v>703</v>
      </c>
      <c r="N1013" t="s">
        <v>702</v>
      </c>
    </row>
    <row r="1014" spans="1:14" x14ac:dyDescent="0.25">
      <c r="A1014" s="18">
        <v>46006</v>
      </c>
      <c r="B1014" t="s">
        <v>319</v>
      </c>
      <c r="C1014" t="s">
        <v>635</v>
      </c>
      <c r="D1014" t="s">
        <v>636</v>
      </c>
      <c r="E1014" t="s">
        <v>637</v>
      </c>
      <c r="F1014" t="s">
        <v>21</v>
      </c>
      <c r="G1014">
        <v>-1346</v>
      </c>
      <c r="H1014">
        <v>74.438999999999993</v>
      </c>
      <c r="I1014">
        <v>100194.89399999999</v>
      </c>
      <c r="K1014">
        <v>74.438999999999993</v>
      </c>
      <c r="L1014">
        <v>100194.89399999999</v>
      </c>
      <c r="M1014" t="s">
        <v>636</v>
      </c>
      <c r="N1014" t="s">
        <v>635</v>
      </c>
    </row>
    <row r="1015" spans="1:14" x14ac:dyDescent="0.25">
      <c r="A1015" s="18">
        <v>46006</v>
      </c>
      <c r="B1015" t="s">
        <v>289</v>
      </c>
      <c r="C1015" t="s">
        <v>323</v>
      </c>
      <c r="D1015" t="s">
        <v>39</v>
      </c>
      <c r="E1015" t="s">
        <v>40</v>
      </c>
      <c r="F1015" t="s">
        <v>36</v>
      </c>
      <c r="G1015">
        <v>1523</v>
      </c>
      <c r="H1015">
        <v>28.3</v>
      </c>
      <c r="I1015">
        <v>-43100.9</v>
      </c>
      <c r="K1015">
        <v>28.3</v>
      </c>
      <c r="L1015">
        <v>-43100.9</v>
      </c>
      <c r="M1015" t="s">
        <v>39</v>
      </c>
      <c r="N1015" t="s">
        <v>323</v>
      </c>
    </row>
    <row r="1016" spans="1:14" x14ac:dyDescent="0.25">
      <c r="A1016" s="18">
        <v>46006</v>
      </c>
      <c r="B1016" t="s">
        <v>289</v>
      </c>
      <c r="C1016" t="s">
        <v>323</v>
      </c>
      <c r="D1016" t="s">
        <v>39</v>
      </c>
      <c r="E1016" t="s">
        <v>40</v>
      </c>
      <c r="F1016" t="s">
        <v>36</v>
      </c>
      <c r="G1016">
        <v>1750</v>
      </c>
      <c r="H1016">
        <v>28.498699999999999</v>
      </c>
      <c r="I1016">
        <v>-49872.724999999999</v>
      </c>
      <c r="K1016">
        <v>28.498699999999999</v>
      </c>
      <c r="L1016">
        <v>-49872.724999999999</v>
      </c>
      <c r="M1016" t="s">
        <v>39</v>
      </c>
      <c r="N1016" t="s">
        <v>323</v>
      </c>
    </row>
    <row r="1017" spans="1:14" x14ac:dyDescent="0.25">
      <c r="A1017" s="18">
        <v>46006</v>
      </c>
      <c r="B1017" t="s">
        <v>319</v>
      </c>
      <c r="C1017" t="s">
        <v>421</v>
      </c>
      <c r="D1017" t="s">
        <v>422</v>
      </c>
      <c r="E1017" t="s">
        <v>423</v>
      </c>
      <c r="F1017" t="s">
        <v>49</v>
      </c>
      <c r="G1017">
        <v>-799</v>
      </c>
      <c r="H1017">
        <v>82.834999999999994</v>
      </c>
      <c r="I1017">
        <v>66185.164999999994</v>
      </c>
      <c r="K1017">
        <v>82.834999999999994</v>
      </c>
      <c r="L1017">
        <v>66185.164999999994</v>
      </c>
      <c r="M1017" t="s">
        <v>422</v>
      </c>
      <c r="N1017" t="s">
        <v>421</v>
      </c>
    </row>
    <row r="1018" spans="1:14" x14ac:dyDescent="0.25">
      <c r="A1018" s="18">
        <v>46007</v>
      </c>
      <c r="B1018" t="s">
        <v>289</v>
      </c>
      <c r="C1018" t="s">
        <v>361</v>
      </c>
      <c r="D1018" t="s">
        <v>93</v>
      </c>
      <c r="E1018" t="s">
        <v>94</v>
      </c>
      <c r="F1018" t="s">
        <v>21</v>
      </c>
      <c r="G1018">
        <v>420</v>
      </c>
      <c r="H1018">
        <v>119.4</v>
      </c>
      <c r="I1018">
        <v>-50148</v>
      </c>
      <c r="K1018">
        <v>119.4</v>
      </c>
      <c r="L1018">
        <v>-50148</v>
      </c>
      <c r="M1018" t="s">
        <v>93</v>
      </c>
      <c r="N1018" t="s">
        <v>361</v>
      </c>
    </row>
    <row r="1019" spans="1:14" x14ac:dyDescent="0.25">
      <c r="A1019" s="18">
        <v>46007</v>
      </c>
      <c r="B1019" t="s">
        <v>289</v>
      </c>
      <c r="C1019" t="s">
        <v>477</v>
      </c>
      <c r="D1019" t="s">
        <v>478</v>
      </c>
      <c r="E1019" t="s">
        <v>277</v>
      </c>
      <c r="F1019" t="s">
        <v>157</v>
      </c>
      <c r="G1019">
        <v>2195</v>
      </c>
      <c r="H1019">
        <v>170.44589999999999</v>
      </c>
      <c r="I1019">
        <v>-374128.75049999997</v>
      </c>
      <c r="K1019">
        <v>170.44589999999999</v>
      </c>
      <c r="L1019">
        <v>-374128.75049999997</v>
      </c>
      <c r="M1019" t="s">
        <v>478</v>
      </c>
      <c r="N1019" t="s">
        <v>477</v>
      </c>
    </row>
    <row r="1020" spans="1:14" x14ac:dyDescent="0.25">
      <c r="A1020" s="18">
        <v>46007</v>
      </c>
      <c r="B1020" t="s">
        <v>289</v>
      </c>
      <c r="C1020" t="s">
        <v>702</v>
      </c>
      <c r="D1020" t="s">
        <v>703</v>
      </c>
      <c r="E1020" t="s">
        <v>704</v>
      </c>
      <c r="F1020" t="s">
        <v>21</v>
      </c>
      <c r="G1020">
        <v>521</v>
      </c>
      <c r="H1020">
        <v>191.98849999999999</v>
      </c>
      <c r="I1020">
        <v>-100026.0085</v>
      </c>
      <c r="K1020">
        <v>191.98849999999999</v>
      </c>
      <c r="L1020">
        <v>-100026.0085</v>
      </c>
      <c r="M1020" t="s">
        <v>703</v>
      </c>
      <c r="N1020" t="s">
        <v>702</v>
      </c>
    </row>
    <row r="1021" spans="1:14" x14ac:dyDescent="0.25">
      <c r="A1021" s="18">
        <v>46007</v>
      </c>
      <c r="B1021" t="s">
        <v>319</v>
      </c>
      <c r="C1021" t="s">
        <v>436</v>
      </c>
      <c r="D1021" t="s">
        <v>437</v>
      </c>
      <c r="E1021" t="s">
        <v>262</v>
      </c>
      <c r="F1021" t="s">
        <v>21</v>
      </c>
      <c r="G1021">
        <v>-6330</v>
      </c>
      <c r="H1021">
        <v>31.623699999999999</v>
      </c>
      <c r="I1021">
        <v>200178.02100000001</v>
      </c>
      <c r="K1021">
        <v>31.623699999999999</v>
      </c>
      <c r="L1021">
        <v>200178.02100000001</v>
      </c>
      <c r="M1021" t="s">
        <v>437</v>
      </c>
      <c r="N1021" t="s">
        <v>436</v>
      </c>
    </row>
    <row r="1022" spans="1:14" x14ac:dyDescent="0.25">
      <c r="A1022" s="18">
        <v>46008</v>
      </c>
      <c r="B1022" t="s">
        <v>289</v>
      </c>
      <c r="C1022" t="s">
        <v>708</v>
      </c>
      <c r="D1022" t="s">
        <v>709</v>
      </c>
      <c r="E1022" t="s">
        <v>710</v>
      </c>
      <c r="F1022" t="s">
        <v>21</v>
      </c>
      <c r="G1022">
        <v>19590</v>
      </c>
      <c r="H1022">
        <v>15.2377</v>
      </c>
      <c r="I1022">
        <v>-298506.54300000001</v>
      </c>
      <c r="K1022">
        <v>15.2377</v>
      </c>
      <c r="L1022">
        <v>-298506.54300000001</v>
      </c>
      <c r="M1022" t="s">
        <v>709</v>
      </c>
      <c r="N1022" t="s">
        <v>708</v>
      </c>
    </row>
    <row r="1023" spans="1:14" x14ac:dyDescent="0.25">
      <c r="A1023" s="18">
        <v>46008</v>
      </c>
      <c r="B1023" t="s">
        <v>319</v>
      </c>
      <c r="C1023" t="s">
        <v>325</v>
      </c>
      <c r="D1023" t="s">
        <v>47</v>
      </c>
      <c r="E1023" t="s">
        <v>48</v>
      </c>
      <c r="F1023" t="s">
        <v>36</v>
      </c>
      <c r="G1023">
        <v>-923</v>
      </c>
      <c r="H1023">
        <v>94.3</v>
      </c>
      <c r="I1023">
        <v>87038.9</v>
      </c>
      <c r="K1023">
        <v>94.3</v>
      </c>
      <c r="L1023">
        <v>87038.9</v>
      </c>
      <c r="M1023" t="s">
        <v>47</v>
      </c>
      <c r="N1023" t="s">
        <v>325</v>
      </c>
    </row>
    <row r="1024" spans="1:14" x14ac:dyDescent="0.25">
      <c r="A1024" s="18">
        <v>46008</v>
      </c>
      <c r="B1024" t="s">
        <v>289</v>
      </c>
      <c r="C1024" t="s">
        <v>708</v>
      </c>
      <c r="D1024" t="s">
        <v>709</v>
      </c>
      <c r="E1024" t="s">
        <v>710</v>
      </c>
      <c r="F1024" t="s">
        <v>21</v>
      </c>
      <c r="G1024">
        <v>6528</v>
      </c>
      <c r="H1024">
        <v>15.2158</v>
      </c>
      <c r="I1024">
        <v>-99328.742400000003</v>
      </c>
      <c r="K1024">
        <v>15.2158</v>
      </c>
      <c r="L1024">
        <v>-99328.742400000003</v>
      </c>
      <c r="M1024" t="s">
        <v>709</v>
      </c>
      <c r="N1024" t="s">
        <v>708</v>
      </c>
    </row>
    <row r="1025" spans="1:14" x14ac:dyDescent="0.25">
      <c r="A1025" s="18">
        <v>46008</v>
      </c>
      <c r="B1025" t="s">
        <v>289</v>
      </c>
      <c r="C1025" t="s">
        <v>648</v>
      </c>
      <c r="D1025" t="s">
        <v>649</v>
      </c>
      <c r="E1025" t="s">
        <v>650</v>
      </c>
      <c r="F1025" t="s">
        <v>36</v>
      </c>
      <c r="G1025">
        <v>7</v>
      </c>
      <c r="H1025">
        <v>9856.5</v>
      </c>
      <c r="I1025">
        <v>-689955</v>
      </c>
      <c r="K1025">
        <v>9856.5</v>
      </c>
      <c r="L1025">
        <v>-689955</v>
      </c>
      <c r="M1025" t="s">
        <v>649</v>
      </c>
      <c r="N1025" t="s">
        <v>648</v>
      </c>
    </row>
    <row r="1026" spans="1:14" x14ac:dyDescent="0.25">
      <c r="A1026" s="18">
        <v>46008</v>
      </c>
      <c r="B1026" t="s">
        <v>319</v>
      </c>
      <c r="C1026" t="s">
        <v>711</v>
      </c>
      <c r="D1026" t="s">
        <v>712</v>
      </c>
      <c r="E1026" t="s">
        <v>713</v>
      </c>
      <c r="F1026" t="s">
        <v>36</v>
      </c>
      <c r="G1026">
        <v>-7</v>
      </c>
      <c r="H1026">
        <v>9884</v>
      </c>
      <c r="I1026">
        <v>691880</v>
      </c>
      <c r="K1026">
        <v>9884</v>
      </c>
      <c r="L1026">
        <v>691880</v>
      </c>
      <c r="M1026" t="s">
        <v>712</v>
      </c>
      <c r="N1026" t="s">
        <v>711</v>
      </c>
    </row>
    <row r="1027" spans="1:14" x14ac:dyDescent="0.25">
      <c r="A1027" s="18">
        <v>46008</v>
      </c>
      <c r="B1027" t="s">
        <v>289</v>
      </c>
      <c r="C1027" t="s">
        <v>557</v>
      </c>
      <c r="D1027" t="s">
        <v>558</v>
      </c>
      <c r="E1027" t="s">
        <v>559</v>
      </c>
      <c r="F1027" t="s">
        <v>21</v>
      </c>
      <c r="G1027">
        <v>11</v>
      </c>
      <c r="H1027">
        <v>5732.75</v>
      </c>
      <c r="I1027">
        <v>-630602.5</v>
      </c>
      <c r="K1027">
        <v>5732.75</v>
      </c>
      <c r="L1027">
        <v>-630602.5</v>
      </c>
      <c r="M1027" t="s">
        <v>558</v>
      </c>
      <c r="N1027" t="s">
        <v>557</v>
      </c>
    </row>
    <row r="1028" spans="1:14" x14ac:dyDescent="0.25">
      <c r="A1028" s="18">
        <v>46008</v>
      </c>
      <c r="B1028" t="s">
        <v>319</v>
      </c>
      <c r="C1028" t="s">
        <v>714</v>
      </c>
      <c r="D1028" t="s">
        <v>715</v>
      </c>
      <c r="E1028" t="s">
        <v>716</v>
      </c>
      <c r="F1028" t="s">
        <v>21</v>
      </c>
      <c r="G1028">
        <v>-11</v>
      </c>
      <c r="H1028">
        <v>5755.5</v>
      </c>
      <c r="I1028">
        <v>633105</v>
      </c>
      <c r="K1028">
        <v>5755.5</v>
      </c>
      <c r="L1028">
        <v>633105</v>
      </c>
      <c r="M1028" t="s">
        <v>715</v>
      </c>
      <c r="N1028" t="s">
        <v>714</v>
      </c>
    </row>
    <row r="1029" spans="1:14" x14ac:dyDescent="0.25">
      <c r="A1029" s="18">
        <v>46008</v>
      </c>
      <c r="B1029" t="s">
        <v>319</v>
      </c>
      <c r="C1029" t="s">
        <v>717</v>
      </c>
      <c r="D1029" t="s">
        <v>718</v>
      </c>
      <c r="E1029" t="s">
        <v>719</v>
      </c>
      <c r="F1029" t="s">
        <v>49</v>
      </c>
      <c r="G1029">
        <v>-4</v>
      </c>
      <c r="H1029">
        <v>2540</v>
      </c>
      <c r="I1029">
        <v>101600</v>
      </c>
      <c r="K1029">
        <v>2540</v>
      </c>
      <c r="L1029">
        <v>101600</v>
      </c>
      <c r="M1029" t="s">
        <v>718</v>
      </c>
      <c r="N1029" t="s">
        <v>717</v>
      </c>
    </row>
    <row r="1030" spans="1:14" x14ac:dyDescent="0.25">
      <c r="A1030" s="18">
        <v>46008</v>
      </c>
      <c r="B1030" t="s">
        <v>289</v>
      </c>
      <c r="C1030" t="s">
        <v>560</v>
      </c>
      <c r="D1030" t="s">
        <v>561</v>
      </c>
      <c r="E1030" t="s">
        <v>562</v>
      </c>
      <c r="F1030" t="s">
        <v>49</v>
      </c>
      <c r="G1030">
        <v>4</v>
      </c>
      <c r="H1030">
        <v>2521.8000000000002</v>
      </c>
      <c r="I1030">
        <v>-504360.00000000006</v>
      </c>
      <c r="K1030">
        <v>2521.8000000000002</v>
      </c>
      <c r="L1030">
        <v>-504360.00000000006</v>
      </c>
      <c r="M1030" t="s">
        <v>561</v>
      </c>
      <c r="N1030" t="s">
        <v>560</v>
      </c>
    </row>
    <row r="1031" spans="1:14" x14ac:dyDescent="0.25">
      <c r="A1031" s="18">
        <v>46008</v>
      </c>
      <c r="B1031" t="s">
        <v>289</v>
      </c>
      <c r="C1031" t="s">
        <v>657</v>
      </c>
      <c r="D1031" t="s">
        <v>658</v>
      </c>
      <c r="E1031" t="s">
        <v>659</v>
      </c>
      <c r="F1031" t="s">
        <v>49</v>
      </c>
      <c r="G1031">
        <v>1</v>
      </c>
      <c r="H1031">
        <v>25139</v>
      </c>
      <c r="I1031">
        <v>-502780</v>
      </c>
      <c r="K1031">
        <v>25139</v>
      </c>
      <c r="L1031">
        <v>-502780</v>
      </c>
      <c r="M1031" t="s">
        <v>658</v>
      </c>
      <c r="N1031" t="s">
        <v>657</v>
      </c>
    </row>
    <row r="1032" spans="1:14" x14ac:dyDescent="0.25">
      <c r="A1032" s="18">
        <v>46008</v>
      </c>
      <c r="B1032" t="s">
        <v>319</v>
      </c>
      <c r="C1032" t="s">
        <v>720</v>
      </c>
      <c r="D1032" t="s">
        <v>721</v>
      </c>
      <c r="E1032" t="s">
        <v>722</v>
      </c>
      <c r="F1032" t="s">
        <v>49</v>
      </c>
      <c r="G1032">
        <v>-1</v>
      </c>
      <c r="H1032">
        <v>25380.95</v>
      </c>
      <c r="I1032">
        <v>507619</v>
      </c>
      <c r="K1032">
        <v>25380.95</v>
      </c>
      <c r="L1032">
        <v>507619</v>
      </c>
      <c r="M1032" t="s">
        <v>721</v>
      </c>
      <c r="N1032" t="s">
        <v>720</v>
      </c>
    </row>
    <row r="1033" spans="1:14" x14ac:dyDescent="0.25">
      <c r="A1033" s="18">
        <v>46008</v>
      </c>
      <c r="B1033" t="s">
        <v>289</v>
      </c>
      <c r="C1033" t="s">
        <v>554</v>
      </c>
      <c r="D1033" t="s">
        <v>555</v>
      </c>
      <c r="E1033" t="s">
        <v>556</v>
      </c>
      <c r="F1033" t="s">
        <v>49</v>
      </c>
      <c r="G1033">
        <v>1</v>
      </c>
      <c r="H1033">
        <v>6801</v>
      </c>
      <c r="I1033">
        <v>-340050</v>
      </c>
      <c r="K1033">
        <v>6801</v>
      </c>
      <c r="L1033">
        <v>-340050</v>
      </c>
      <c r="M1033" t="s">
        <v>555</v>
      </c>
      <c r="N1033" t="s">
        <v>554</v>
      </c>
    </row>
    <row r="1034" spans="1:14" x14ac:dyDescent="0.25">
      <c r="A1034" s="18">
        <v>46008</v>
      </c>
      <c r="B1034" t="s">
        <v>319</v>
      </c>
      <c r="C1034" t="s">
        <v>723</v>
      </c>
      <c r="D1034" t="s">
        <v>724</v>
      </c>
      <c r="E1034" t="s">
        <v>725</v>
      </c>
      <c r="F1034" t="s">
        <v>49</v>
      </c>
      <c r="G1034">
        <v>-1</v>
      </c>
      <c r="H1034">
        <v>6856.85</v>
      </c>
      <c r="I1034">
        <v>342842.5</v>
      </c>
      <c r="K1034">
        <v>6856.85</v>
      </c>
      <c r="L1034">
        <v>342842.5</v>
      </c>
      <c r="M1034" t="s">
        <v>724</v>
      </c>
      <c r="N1034" t="s">
        <v>723</v>
      </c>
    </row>
    <row r="1035" spans="1:14" x14ac:dyDescent="0.25">
      <c r="A1035" s="18">
        <v>46008</v>
      </c>
      <c r="B1035" t="s">
        <v>319</v>
      </c>
      <c r="C1035" t="s">
        <v>726</v>
      </c>
      <c r="D1035" t="s">
        <v>727</v>
      </c>
      <c r="E1035" t="s">
        <v>728</v>
      </c>
      <c r="F1035" t="s">
        <v>21</v>
      </c>
      <c r="G1035">
        <v>-23</v>
      </c>
      <c r="H1035">
        <v>8121</v>
      </c>
      <c r="I1035">
        <v>1867830</v>
      </c>
      <c r="K1035">
        <v>8121</v>
      </c>
      <c r="L1035">
        <v>1867830</v>
      </c>
      <c r="M1035" t="s">
        <v>727</v>
      </c>
      <c r="N1035" t="s">
        <v>726</v>
      </c>
    </row>
    <row r="1036" spans="1:14" x14ac:dyDescent="0.25">
      <c r="A1036" s="18">
        <v>46008</v>
      </c>
      <c r="B1036" t="s">
        <v>289</v>
      </c>
      <c r="C1036" t="s">
        <v>645</v>
      </c>
      <c r="D1036" t="s">
        <v>646</v>
      </c>
      <c r="E1036" t="s">
        <v>647</v>
      </c>
      <c r="F1036" t="s">
        <v>21</v>
      </c>
      <c r="G1036">
        <v>23</v>
      </c>
      <c r="H1036">
        <v>8111.5</v>
      </c>
      <c r="I1036">
        <v>-1865645</v>
      </c>
      <c r="K1036">
        <v>8111.5</v>
      </c>
      <c r="L1036">
        <v>-1865645</v>
      </c>
      <c r="M1036" t="s">
        <v>646</v>
      </c>
      <c r="N1036" t="s">
        <v>645</v>
      </c>
    </row>
    <row r="1037" spans="1:14" x14ac:dyDescent="0.25">
      <c r="A1037" s="18">
        <v>46008</v>
      </c>
      <c r="B1037" t="s">
        <v>289</v>
      </c>
      <c r="C1037" t="s">
        <v>708</v>
      </c>
      <c r="D1037" t="s">
        <v>709</v>
      </c>
      <c r="E1037" t="s">
        <v>710</v>
      </c>
      <c r="F1037" t="s">
        <v>21</v>
      </c>
      <c r="G1037">
        <v>6550</v>
      </c>
      <c r="H1037">
        <v>15.277799999999999</v>
      </c>
      <c r="I1037">
        <v>-100069.59</v>
      </c>
      <c r="K1037">
        <v>15.277799999999999</v>
      </c>
      <c r="L1037">
        <v>-100069.59</v>
      </c>
      <c r="M1037" t="s">
        <v>709</v>
      </c>
      <c r="N1037" t="s">
        <v>708</v>
      </c>
    </row>
    <row r="1038" spans="1:14" x14ac:dyDescent="0.25">
      <c r="A1038" s="18">
        <v>46008</v>
      </c>
      <c r="B1038" t="s">
        <v>319</v>
      </c>
      <c r="C1038" t="s">
        <v>325</v>
      </c>
      <c r="D1038" t="s">
        <v>47</v>
      </c>
      <c r="E1038" t="s">
        <v>48</v>
      </c>
      <c r="F1038" t="s">
        <v>36</v>
      </c>
      <c r="G1038">
        <v>-923</v>
      </c>
      <c r="H1038">
        <v>92.4251</v>
      </c>
      <c r="I1038">
        <v>85308.367299999998</v>
      </c>
      <c r="K1038">
        <v>92.4251</v>
      </c>
      <c r="L1038">
        <v>85308.367299999998</v>
      </c>
      <c r="M1038" t="s">
        <v>47</v>
      </c>
      <c r="N1038" t="s">
        <v>325</v>
      </c>
    </row>
    <row r="1039" spans="1:14" x14ac:dyDescent="0.25">
      <c r="A1039" s="18">
        <v>46008</v>
      </c>
      <c r="B1039" t="s">
        <v>289</v>
      </c>
      <c r="C1039" t="s">
        <v>642</v>
      </c>
      <c r="D1039" t="s">
        <v>643</v>
      </c>
      <c r="E1039" t="s">
        <v>644</v>
      </c>
      <c r="F1039" t="s">
        <v>21</v>
      </c>
      <c r="G1039">
        <v>2</v>
      </c>
      <c r="H1039">
        <v>16922</v>
      </c>
      <c r="I1039">
        <v>-338440</v>
      </c>
      <c r="K1039">
        <v>16922</v>
      </c>
      <c r="L1039">
        <v>-338440</v>
      </c>
      <c r="M1039" t="s">
        <v>643</v>
      </c>
      <c r="N1039" t="s">
        <v>642</v>
      </c>
    </row>
    <row r="1040" spans="1:14" x14ac:dyDescent="0.25">
      <c r="A1040" s="18">
        <v>46008</v>
      </c>
      <c r="B1040" t="s">
        <v>319</v>
      </c>
      <c r="C1040" t="s">
        <v>729</v>
      </c>
      <c r="D1040" t="s">
        <v>730</v>
      </c>
      <c r="E1040" t="s">
        <v>731</v>
      </c>
      <c r="F1040" t="s">
        <v>21</v>
      </c>
      <c r="G1040">
        <v>-2</v>
      </c>
      <c r="H1040">
        <v>16898</v>
      </c>
      <c r="I1040">
        <v>337960</v>
      </c>
      <c r="K1040">
        <v>16898</v>
      </c>
      <c r="L1040">
        <v>337960</v>
      </c>
      <c r="M1040" t="s">
        <v>730</v>
      </c>
      <c r="N1040" t="s">
        <v>729</v>
      </c>
    </row>
    <row r="1041" spans="1:14" x14ac:dyDescent="0.25">
      <c r="A1041" s="18">
        <v>46009</v>
      </c>
      <c r="B1041" t="s">
        <v>289</v>
      </c>
      <c r="C1041" t="s">
        <v>729</v>
      </c>
      <c r="D1041" t="s">
        <v>730</v>
      </c>
      <c r="E1041" t="s">
        <v>731</v>
      </c>
      <c r="F1041" t="s">
        <v>21</v>
      </c>
      <c r="G1041">
        <v>1</v>
      </c>
      <c r="H1041">
        <v>17028</v>
      </c>
      <c r="I1041">
        <v>-170280</v>
      </c>
      <c r="K1041">
        <v>17028</v>
      </c>
      <c r="L1041">
        <v>-170280</v>
      </c>
      <c r="M1041" t="s">
        <v>730</v>
      </c>
      <c r="N1041" t="s">
        <v>729</v>
      </c>
    </row>
    <row r="1042" spans="1:14" x14ac:dyDescent="0.25">
      <c r="A1042" s="18">
        <v>46009</v>
      </c>
      <c r="B1042" t="s">
        <v>289</v>
      </c>
      <c r="C1042" t="s">
        <v>641</v>
      </c>
      <c r="D1042" t="s">
        <v>37</v>
      </c>
      <c r="E1042" t="s">
        <v>38</v>
      </c>
      <c r="F1042" t="s">
        <v>36</v>
      </c>
      <c r="G1042">
        <v>2890</v>
      </c>
      <c r="H1042">
        <v>30.335000000000001</v>
      </c>
      <c r="I1042">
        <v>-87668.150000000009</v>
      </c>
      <c r="K1042">
        <v>30.335000000000004</v>
      </c>
      <c r="L1042">
        <v>-87668.150000000009</v>
      </c>
      <c r="M1042" t="s">
        <v>37</v>
      </c>
      <c r="N1042" t="s">
        <v>641</v>
      </c>
    </row>
    <row r="1043" spans="1:14" x14ac:dyDescent="0.25">
      <c r="A1043" s="18">
        <v>46009</v>
      </c>
      <c r="B1043" t="s">
        <v>289</v>
      </c>
      <c r="C1043" t="s">
        <v>477</v>
      </c>
      <c r="D1043" t="s">
        <v>478</v>
      </c>
      <c r="E1043" t="s">
        <v>277</v>
      </c>
      <c r="F1043" t="s">
        <v>157</v>
      </c>
      <c r="G1043">
        <v>2200</v>
      </c>
      <c r="H1043">
        <v>169.9</v>
      </c>
      <c r="I1043">
        <v>-373780</v>
      </c>
      <c r="K1043">
        <v>169.9</v>
      </c>
      <c r="L1043">
        <v>-373780</v>
      </c>
      <c r="M1043" t="s">
        <v>478</v>
      </c>
      <c r="N1043" t="s">
        <v>477</v>
      </c>
    </row>
    <row r="1044" spans="1:14" x14ac:dyDescent="0.25">
      <c r="A1044" s="18">
        <v>46013</v>
      </c>
      <c r="B1044" t="s">
        <v>319</v>
      </c>
      <c r="C1044" t="s">
        <v>705</v>
      </c>
      <c r="D1044" t="s">
        <v>706</v>
      </c>
      <c r="E1044" t="s">
        <v>707</v>
      </c>
      <c r="F1044" t="s">
        <v>21</v>
      </c>
      <c r="G1044">
        <v>-1</v>
      </c>
      <c r="H1044">
        <v>24443</v>
      </c>
      <c r="I1044">
        <v>122215</v>
      </c>
      <c r="K1044">
        <v>24443</v>
      </c>
      <c r="L1044">
        <v>122215</v>
      </c>
      <c r="M1044" t="s">
        <v>706</v>
      </c>
      <c r="N1044" t="s">
        <v>705</v>
      </c>
    </row>
    <row r="1045" spans="1:14" x14ac:dyDescent="0.25">
      <c r="A1045" s="18">
        <v>46013</v>
      </c>
      <c r="B1045" t="s">
        <v>319</v>
      </c>
      <c r="C1045" t="s">
        <v>667</v>
      </c>
      <c r="D1045" t="s">
        <v>668</v>
      </c>
      <c r="E1045" t="s">
        <v>669</v>
      </c>
      <c r="F1045" t="s">
        <v>21</v>
      </c>
      <c r="G1045">
        <v>-58825</v>
      </c>
      <c r="H1045">
        <v>2.7498999999999998</v>
      </c>
      <c r="I1045">
        <v>161762.86749999999</v>
      </c>
      <c r="K1045">
        <v>2.7498999999999998</v>
      </c>
      <c r="L1045">
        <v>161762.86749999999</v>
      </c>
      <c r="M1045" t="s">
        <v>668</v>
      </c>
      <c r="N1045" t="s">
        <v>667</v>
      </c>
    </row>
    <row r="1046" spans="1:14" x14ac:dyDescent="0.25">
      <c r="A1046" s="18">
        <v>46013</v>
      </c>
      <c r="B1046" t="s">
        <v>289</v>
      </c>
      <c r="C1046" t="s">
        <v>477</v>
      </c>
      <c r="D1046" t="s">
        <v>478</v>
      </c>
      <c r="E1046" t="s">
        <v>277</v>
      </c>
      <c r="F1046" t="s">
        <v>157</v>
      </c>
      <c r="G1046">
        <v>2190</v>
      </c>
      <c r="H1046">
        <v>166.15</v>
      </c>
      <c r="I1046">
        <v>-363868.5</v>
      </c>
      <c r="K1046">
        <v>166.15</v>
      </c>
      <c r="L1046">
        <v>-363868.5</v>
      </c>
      <c r="M1046" t="s">
        <v>478</v>
      </c>
      <c r="N1046" t="s">
        <v>477</v>
      </c>
    </row>
    <row r="1047" spans="1:14" x14ac:dyDescent="0.25">
      <c r="A1047" s="18">
        <v>46013</v>
      </c>
      <c r="B1047" t="s">
        <v>289</v>
      </c>
      <c r="C1047" t="s">
        <v>325</v>
      </c>
      <c r="D1047" t="s">
        <v>47</v>
      </c>
      <c r="E1047" t="s">
        <v>48</v>
      </c>
      <c r="F1047" t="s">
        <v>36</v>
      </c>
      <c r="G1047">
        <v>921</v>
      </c>
      <c r="H1047">
        <v>92.82</v>
      </c>
      <c r="I1047">
        <v>-85487.219999999987</v>
      </c>
      <c r="K1047">
        <v>92.819999999999979</v>
      </c>
      <c r="L1047">
        <v>-85487.219999999987</v>
      </c>
      <c r="M1047" t="s">
        <v>47</v>
      </c>
      <c r="N1047" t="s">
        <v>325</v>
      </c>
    </row>
    <row r="1048" spans="1:14" x14ac:dyDescent="0.25">
      <c r="A1048" s="18">
        <v>46013</v>
      </c>
      <c r="B1048" t="s">
        <v>289</v>
      </c>
      <c r="C1048" t="s">
        <v>311</v>
      </c>
      <c r="D1048" t="s">
        <v>312</v>
      </c>
      <c r="E1048" t="s">
        <v>313</v>
      </c>
      <c r="F1048" t="s">
        <v>21</v>
      </c>
      <c r="G1048">
        <v>245</v>
      </c>
      <c r="H1048">
        <v>301.85000000000002</v>
      </c>
      <c r="I1048">
        <v>-73953.25</v>
      </c>
      <c r="K1048">
        <v>301.85000000000002</v>
      </c>
      <c r="L1048">
        <v>-73953.25</v>
      </c>
      <c r="M1048" t="s">
        <v>312</v>
      </c>
      <c r="N1048" t="s">
        <v>311</v>
      </c>
    </row>
    <row r="1049" spans="1:14" x14ac:dyDescent="0.25">
      <c r="A1049" s="18">
        <v>46014</v>
      </c>
      <c r="B1049" t="s">
        <v>319</v>
      </c>
      <c r="C1049" t="s">
        <v>608</v>
      </c>
      <c r="D1049" t="s">
        <v>26</v>
      </c>
      <c r="E1049" t="s">
        <v>27</v>
      </c>
      <c r="F1049" t="s">
        <v>21</v>
      </c>
      <c r="G1049">
        <v>-174</v>
      </c>
      <c r="H1049">
        <v>301.89999999999998</v>
      </c>
      <c r="I1049">
        <v>52530.6</v>
      </c>
      <c r="K1049">
        <v>301.89999999999998</v>
      </c>
      <c r="L1049">
        <v>52530.6</v>
      </c>
      <c r="M1049" t="s">
        <v>26</v>
      </c>
      <c r="N1049" t="s">
        <v>608</v>
      </c>
    </row>
    <row r="1050" spans="1:14" x14ac:dyDescent="0.25">
      <c r="A1050" s="18">
        <v>46014</v>
      </c>
      <c r="B1050" t="s">
        <v>289</v>
      </c>
      <c r="C1050" t="s">
        <v>670</v>
      </c>
      <c r="D1050" t="s">
        <v>671</v>
      </c>
      <c r="E1050" t="s">
        <v>672</v>
      </c>
      <c r="F1050" t="s">
        <v>21</v>
      </c>
      <c r="G1050">
        <v>430</v>
      </c>
      <c r="H1050">
        <v>123.6874</v>
      </c>
      <c r="I1050">
        <v>-53185.582000000002</v>
      </c>
      <c r="K1050">
        <v>123.68740000000001</v>
      </c>
      <c r="L1050">
        <v>-53185.582000000002</v>
      </c>
      <c r="M1050" t="s">
        <v>671</v>
      </c>
      <c r="N1050" t="s">
        <v>670</v>
      </c>
    </row>
    <row r="1051" spans="1:14" x14ac:dyDescent="0.25">
      <c r="A1051" s="18">
        <v>46020</v>
      </c>
      <c r="B1051" t="s">
        <v>289</v>
      </c>
      <c r="C1051" t="s">
        <v>311</v>
      </c>
      <c r="D1051" t="s">
        <v>312</v>
      </c>
      <c r="E1051" t="s">
        <v>313</v>
      </c>
      <c r="F1051" t="s">
        <v>21</v>
      </c>
      <c r="G1051">
        <v>335</v>
      </c>
      <c r="H1051">
        <v>295.25</v>
      </c>
      <c r="I1051">
        <v>-98908.75</v>
      </c>
      <c r="K1051">
        <v>295.25</v>
      </c>
      <c r="L1051">
        <v>-98908.75</v>
      </c>
      <c r="M1051" t="s">
        <v>312</v>
      </c>
      <c r="N1051" t="s">
        <v>311</v>
      </c>
    </row>
    <row r="1052" spans="1:14" x14ac:dyDescent="0.25">
      <c r="A1052" s="18">
        <v>46020</v>
      </c>
      <c r="B1052" t="s">
        <v>319</v>
      </c>
      <c r="C1052" t="s">
        <v>493</v>
      </c>
      <c r="D1052" t="s">
        <v>28</v>
      </c>
      <c r="E1052" t="s">
        <v>29</v>
      </c>
      <c r="F1052" t="s">
        <v>21</v>
      </c>
      <c r="G1052">
        <v>-426</v>
      </c>
      <c r="H1052">
        <v>234.8</v>
      </c>
      <c r="I1052">
        <v>100024.8</v>
      </c>
      <c r="K1052">
        <v>234.8</v>
      </c>
      <c r="L1052">
        <v>100024.8</v>
      </c>
      <c r="M1052" t="s">
        <v>28</v>
      </c>
      <c r="N1052" t="s">
        <v>493</v>
      </c>
    </row>
    <row r="1053" spans="1:14" x14ac:dyDescent="0.25">
      <c r="A1053" s="18">
        <v>46020</v>
      </c>
      <c r="B1053" t="s">
        <v>319</v>
      </c>
      <c r="C1053" t="s">
        <v>477</v>
      </c>
      <c r="D1053" t="s">
        <v>478</v>
      </c>
      <c r="E1053" t="s">
        <v>277</v>
      </c>
      <c r="F1053" t="s">
        <v>157</v>
      </c>
      <c r="G1053">
        <v>-4390</v>
      </c>
      <c r="H1053">
        <v>170.72559999999999</v>
      </c>
      <c r="I1053">
        <v>749485.38399999996</v>
      </c>
      <c r="K1053">
        <v>170.72559999999999</v>
      </c>
      <c r="L1053">
        <v>749485.38399999996</v>
      </c>
      <c r="M1053" t="s">
        <v>478</v>
      </c>
      <c r="N1053" t="s">
        <v>477</v>
      </c>
    </row>
    <row r="1054" spans="1:14" x14ac:dyDescent="0.25">
      <c r="A1054" s="18">
        <v>46020</v>
      </c>
      <c r="B1054" t="s">
        <v>289</v>
      </c>
      <c r="C1054" t="s">
        <v>697</v>
      </c>
      <c r="D1054" t="s">
        <v>698</v>
      </c>
      <c r="E1054" t="s">
        <v>699</v>
      </c>
      <c r="F1054" t="s">
        <v>21</v>
      </c>
      <c r="G1054">
        <v>665</v>
      </c>
      <c r="H1054">
        <v>75.071299999999994</v>
      </c>
      <c r="I1054">
        <v>-49922.414499999999</v>
      </c>
      <c r="K1054">
        <v>75.071299999999994</v>
      </c>
      <c r="L1054">
        <v>-49922.414499999999</v>
      </c>
      <c r="M1054" t="s">
        <v>698</v>
      </c>
      <c r="N1054" t="s">
        <v>697</v>
      </c>
    </row>
    <row r="1055" spans="1:14" x14ac:dyDescent="0.25">
      <c r="A1055" s="18">
        <v>46020</v>
      </c>
      <c r="B1055" t="s">
        <v>289</v>
      </c>
      <c r="C1055" t="s">
        <v>714</v>
      </c>
      <c r="D1055" t="s">
        <v>715</v>
      </c>
      <c r="E1055" t="s">
        <v>716</v>
      </c>
      <c r="F1055" t="s">
        <v>21</v>
      </c>
      <c r="G1055">
        <v>2</v>
      </c>
      <c r="H1055">
        <v>5773</v>
      </c>
      <c r="I1055">
        <v>-115460</v>
      </c>
      <c r="K1055">
        <v>5773</v>
      </c>
      <c r="L1055">
        <v>-115460</v>
      </c>
      <c r="M1055" t="s">
        <v>715</v>
      </c>
      <c r="N1055" t="s">
        <v>714</v>
      </c>
    </row>
    <row r="1056" spans="1:14" x14ac:dyDescent="0.25">
      <c r="A1056" s="18">
        <v>46020</v>
      </c>
      <c r="B1056" t="s">
        <v>319</v>
      </c>
      <c r="C1056" t="s">
        <v>361</v>
      </c>
      <c r="D1056" t="s">
        <v>93</v>
      </c>
      <c r="E1056" t="s">
        <v>94</v>
      </c>
      <c r="F1056" t="s">
        <v>21</v>
      </c>
      <c r="G1056">
        <v>-829</v>
      </c>
      <c r="H1056">
        <v>120.5</v>
      </c>
      <c r="I1056">
        <v>99894.5</v>
      </c>
      <c r="K1056">
        <v>120.5</v>
      </c>
      <c r="L1056">
        <v>99894.5</v>
      </c>
      <c r="M1056" t="s">
        <v>93</v>
      </c>
      <c r="N1056" t="s">
        <v>361</v>
      </c>
    </row>
    <row r="1057" spans="1:14" x14ac:dyDescent="0.25">
      <c r="A1057" s="18">
        <v>46020</v>
      </c>
      <c r="B1057" t="s">
        <v>289</v>
      </c>
      <c r="C1057" t="s">
        <v>342</v>
      </c>
      <c r="D1057" t="s">
        <v>343</v>
      </c>
      <c r="E1057" t="s">
        <v>282</v>
      </c>
      <c r="F1057" t="s">
        <v>21</v>
      </c>
      <c r="G1057">
        <v>2908</v>
      </c>
      <c r="H1057">
        <v>86.502700000000004</v>
      </c>
      <c r="I1057">
        <v>-251549.85160000002</v>
      </c>
      <c r="K1057">
        <v>86.502700000000004</v>
      </c>
      <c r="L1057">
        <v>-251549.85160000002</v>
      </c>
      <c r="M1057" t="s">
        <v>343</v>
      </c>
      <c r="N1057" t="s">
        <v>342</v>
      </c>
    </row>
    <row r="1058" spans="1:14" x14ac:dyDescent="0.25">
      <c r="A1058" s="18">
        <v>46020</v>
      </c>
      <c r="B1058" t="s">
        <v>289</v>
      </c>
      <c r="C1058" t="s">
        <v>551</v>
      </c>
      <c r="D1058" t="s">
        <v>552</v>
      </c>
      <c r="E1058" t="s">
        <v>553</v>
      </c>
      <c r="F1058" t="s">
        <v>21</v>
      </c>
      <c r="G1058">
        <v>1720</v>
      </c>
      <c r="H1058">
        <v>44.2117</v>
      </c>
      <c r="I1058">
        <v>-76044.123999999996</v>
      </c>
      <c r="K1058">
        <v>44.2117</v>
      </c>
      <c r="L1058">
        <v>-76044.123999999996</v>
      </c>
      <c r="M1058" t="s">
        <v>552</v>
      </c>
      <c r="N1058" t="s">
        <v>551</v>
      </c>
    </row>
    <row r="1059" spans="1:14" x14ac:dyDescent="0.25">
      <c r="A1059" s="18">
        <v>46024</v>
      </c>
      <c r="B1059" t="s">
        <v>289</v>
      </c>
      <c r="C1059" t="s">
        <v>670</v>
      </c>
      <c r="D1059" t="s">
        <v>671</v>
      </c>
      <c r="E1059" t="s">
        <v>672</v>
      </c>
      <c r="F1059" t="s">
        <v>21</v>
      </c>
      <c r="G1059">
        <v>1590</v>
      </c>
      <c r="H1059">
        <v>127.5</v>
      </c>
      <c r="I1059">
        <v>-202725</v>
      </c>
      <c r="K1059">
        <v>127.5</v>
      </c>
      <c r="L1059">
        <v>-202725</v>
      </c>
      <c r="M1059" t="s">
        <v>671</v>
      </c>
      <c r="N1059" t="s">
        <v>670</v>
      </c>
    </row>
    <row r="1060" spans="1:14" x14ac:dyDescent="0.25">
      <c r="A1060" s="18">
        <v>46024</v>
      </c>
      <c r="B1060" t="s">
        <v>289</v>
      </c>
      <c r="C1060" t="s">
        <v>732</v>
      </c>
      <c r="D1060" t="s">
        <v>64</v>
      </c>
      <c r="E1060" t="s">
        <v>65</v>
      </c>
      <c r="F1060" t="s">
        <v>49</v>
      </c>
      <c r="G1060">
        <v>329</v>
      </c>
      <c r="H1060">
        <v>1070.6367</v>
      </c>
      <c r="I1060">
        <v>-352239.4743</v>
      </c>
      <c r="K1060">
        <v>1070.6367</v>
      </c>
      <c r="L1060">
        <v>-352239.4743</v>
      </c>
      <c r="M1060" t="s">
        <v>64</v>
      </c>
      <c r="N1060" t="s">
        <v>732</v>
      </c>
    </row>
    <row r="1061" spans="1:14" x14ac:dyDescent="0.25">
      <c r="A1061" s="18">
        <v>46024</v>
      </c>
      <c r="B1061" t="s">
        <v>319</v>
      </c>
      <c r="C1061" t="s">
        <v>314</v>
      </c>
      <c r="D1061" t="s">
        <v>315</v>
      </c>
      <c r="E1061" t="s">
        <v>362</v>
      </c>
      <c r="F1061" t="s">
        <v>21</v>
      </c>
      <c r="G1061">
        <v>-10153</v>
      </c>
      <c r="H1061">
        <v>29.682200000000002</v>
      </c>
      <c r="I1061">
        <v>301363.37660000002</v>
      </c>
      <c r="K1061">
        <v>29.682200000000002</v>
      </c>
      <c r="L1061">
        <v>301363.37660000002</v>
      </c>
      <c r="M1061" t="s">
        <v>315</v>
      </c>
      <c r="N1061" t="s">
        <v>314</v>
      </c>
    </row>
    <row r="1062" spans="1:14" x14ac:dyDescent="0.25">
      <c r="A1062" s="18">
        <v>46027</v>
      </c>
      <c r="B1062" t="s">
        <v>289</v>
      </c>
      <c r="C1062" t="s">
        <v>729</v>
      </c>
      <c r="D1062" t="s">
        <v>733</v>
      </c>
      <c r="E1062" t="s">
        <v>731</v>
      </c>
      <c r="F1062" t="s">
        <v>21</v>
      </c>
      <c r="G1062">
        <v>1</v>
      </c>
      <c r="H1062">
        <v>17544</v>
      </c>
      <c r="I1062">
        <v>-175440</v>
      </c>
      <c r="K1062">
        <v>17544</v>
      </c>
      <c r="L1062">
        <v>-175440</v>
      </c>
      <c r="M1062" t="s">
        <v>733</v>
      </c>
      <c r="N1062" t="s">
        <v>729</v>
      </c>
    </row>
    <row r="1063" spans="1:14" x14ac:dyDescent="0.25">
      <c r="A1063" s="18">
        <v>46027</v>
      </c>
      <c r="B1063" t="s">
        <v>289</v>
      </c>
      <c r="C1063" t="s">
        <v>582</v>
      </c>
      <c r="D1063" t="s">
        <v>83</v>
      </c>
      <c r="E1063" t="s">
        <v>583</v>
      </c>
      <c r="F1063" t="s">
        <v>82</v>
      </c>
      <c r="G1063">
        <v>809</v>
      </c>
      <c r="H1063">
        <v>172</v>
      </c>
      <c r="I1063">
        <v>-139148</v>
      </c>
      <c r="K1063">
        <v>172</v>
      </c>
      <c r="L1063">
        <v>-139148</v>
      </c>
      <c r="M1063" t="s">
        <v>83</v>
      </c>
      <c r="N1063" t="s">
        <v>582</v>
      </c>
    </row>
    <row r="1064" spans="1:14" x14ac:dyDescent="0.25">
      <c r="A1064" s="18">
        <v>46027</v>
      </c>
      <c r="B1064" t="s">
        <v>319</v>
      </c>
      <c r="C1064" t="s">
        <v>635</v>
      </c>
      <c r="D1064" t="s">
        <v>636</v>
      </c>
      <c r="E1064" t="s">
        <v>637</v>
      </c>
      <c r="F1064" t="s">
        <v>21</v>
      </c>
      <c r="G1064">
        <v>-4079</v>
      </c>
      <c r="H1064">
        <v>73.4529</v>
      </c>
      <c r="I1064">
        <v>299614.37910000002</v>
      </c>
      <c r="K1064">
        <v>73.4529</v>
      </c>
      <c r="L1064">
        <v>299614.37910000002</v>
      </c>
      <c r="M1064" t="s">
        <v>636</v>
      </c>
      <c r="N1064" t="s">
        <v>635</v>
      </c>
    </row>
    <row r="1065" spans="1:14" x14ac:dyDescent="0.25">
      <c r="A1065" s="18">
        <v>46027</v>
      </c>
      <c r="B1065" t="s">
        <v>289</v>
      </c>
      <c r="C1065" t="s">
        <v>608</v>
      </c>
      <c r="D1065" t="s">
        <v>26</v>
      </c>
      <c r="E1065" t="s">
        <v>27</v>
      </c>
      <c r="F1065" t="s">
        <v>21</v>
      </c>
      <c r="G1065">
        <v>493</v>
      </c>
      <c r="H1065">
        <v>303.45870000000002</v>
      </c>
      <c r="I1065">
        <v>-149605.1391</v>
      </c>
      <c r="K1065">
        <v>303.45870000000002</v>
      </c>
      <c r="L1065">
        <v>-149605.1391</v>
      </c>
      <c r="M1065" t="s">
        <v>26</v>
      </c>
      <c r="N1065" t="s">
        <v>608</v>
      </c>
    </row>
    <row r="1066" spans="1:14" x14ac:dyDescent="0.25">
      <c r="A1066" s="18">
        <v>46027</v>
      </c>
      <c r="B1066" t="s">
        <v>319</v>
      </c>
      <c r="C1066" t="s">
        <v>635</v>
      </c>
      <c r="D1066" t="s">
        <v>636</v>
      </c>
      <c r="E1066" t="s">
        <v>637</v>
      </c>
      <c r="F1066" t="s">
        <v>21</v>
      </c>
      <c r="G1066">
        <v>-2102</v>
      </c>
      <c r="H1066">
        <v>73.236199999999997</v>
      </c>
      <c r="I1066">
        <v>153942.49239999999</v>
      </c>
      <c r="K1066">
        <v>73.236199999999997</v>
      </c>
      <c r="L1066">
        <v>153942.49239999999</v>
      </c>
      <c r="M1066" t="s">
        <v>636</v>
      </c>
      <c r="N1066" t="s">
        <v>635</v>
      </c>
    </row>
    <row r="1067" spans="1:14" x14ac:dyDescent="0.25">
      <c r="A1067" s="18">
        <v>46027</v>
      </c>
      <c r="B1067" t="s">
        <v>319</v>
      </c>
      <c r="C1067" t="s">
        <v>303</v>
      </c>
      <c r="D1067" t="s">
        <v>304</v>
      </c>
      <c r="E1067" t="s">
        <v>357</v>
      </c>
      <c r="F1067" t="s">
        <v>21</v>
      </c>
      <c r="G1067">
        <v>-1466000</v>
      </c>
      <c r="H1067">
        <v>102.49672578444748</v>
      </c>
      <c r="I1067">
        <v>1502602</v>
      </c>
      <c r="K1067">
        <v>102.49672578444748</v>
      </c>
      <c r="L1067">
        <v>1502602</v>
      </c>
      <c r="M1067" t="s">
        <v>304</v>
      </c>
      <c r="N1067" t="s">
        <v>303</v>
      </c>
    </row>
    <row r="1068" spans="1:14" x14ac:dyDescent="0.25">
      <c r="A1068" s="18">
        <v>46027</v>
      </c>
      <c r="B1068" t="s">
        <v>319</v>
      </c>
      <c r="C1068" t="s">
        <v>328</v>
      </c>
      <c r="D1068" t="s">
        <v>329</v>
      </c>
      <c r="E1068" t="s">
        <v>330</v>
      </c>
      <c r="F1068" t="s">
        <v>21</v>
      </c>
      <c r="G1068">
        <v>-100</v>
      </c>
      <c r="H1068">
        <v>1749.5</v>
      </c>
      <c r="I1068">
        <v>174950</v>
      </c>
      <c r="K1068">
        <v>1749.5</v>
      </c>
      <c r="L1068">
        <v>174950</v>
      </c>
      <c r="M1068" t="s">
        <v>329</v>
      </c>
      <c r="N1068" t="s">
        <v>328</v>
      </c>
    </row>
    <row r="1069" spans="1:14" x14ac:dyDescent="0.25">
      <c r="A1069" s="18">
        <v>46027</v>
      </c>
      <c r="B1069" t="s">
        <v>319</v>
      </c>
      <c r="C1069" t="s">
        <v>700</v>
      </c>
      <c r="D1069" t="s">
        <v>68</v>
      </c>
      <c r="E1069" t="s">
        <v>701</v>
      </c>
      <c r="F1069" t="s">
        <v>49</v>
      </c>
      <c r="G1069">
        <v>-290</v>
      </c>
      <c r="H1069">
        <v>103.46339999999999</v>
      </c>
      <c r="I1069">
        <v>30004.385999999999</v>
      </c>
      <c r="K1069">
        <v>103.46339999999999</v>
      </c>
      <c r="L1069">
        <v>30004.385999999999</v>
      </c>
      <c r="M1069" t="s">
        <v>68</v>
      </c>
      <c r="N1069" t="s">
        <v>700</v>
      </c>
    </row>
    <row r="1070" spans="1:14" x14ac:dyDescent="0.25">
      <c r="A1070" s="18">
        <v>46027</v>
      </c>
      <c r="B1070" t="s">
        <v>289</v>
      </c>
      <c r="C1070" t="s">
        <v>734</v>
      </c>
      <c r="D1070" t="s">
        <v>110</v>
      </c>
      <c r="E1070" t="s">
        <v>735</v>
      </c>
      <c r="F1070" t="s">
        <v>21</v>
      </c>
      <c r="G1070">
        <v>6277</v>
      </c>
      <c r="H1070">
        <v>159.31</v>
      </c>
      <c r="I1070">
        <v>-999988.87</v>
      </c>
      <c r="K1070">
        <v>159.31</v>
      </c>
      <c r="L1070">
        <v>-999988.87</v>
      </c>
      <c r="M1070" t="s">
        <v>110</v>
      </c>
      <c r="N1070" t="s">
        <v>734</v>
      </c>
    </row>
    <row r="1071" spans="1:14" x14ac:dyDescent="0.25">
      <c r="A1071" s="18">
        <v>46027</v>
      </c>
      <c r="B1071" t="s">
        <v>319</v>
      </c>
      <c r="C1071" t="s">
        <v>575</v>
      </c>
      <c r="D1071" t="s">
        <v>576</v>
      </c>
      <c r="E1071" t="s">
        <v>577</v>
      </c>
      <c r="F1071" t="s">
        <v>21</v>
      </c>
      <c r="G1071">
        <v>-23</v>
      </c>
      <c r="H1071">
        <v>22349.66</v>
      </c>
      <c r="I1071">
        <v>514042.18</v>
      </c>
      <c r="K1071">
        <v>22349.66</v>
      </c>
      <c r="L1071">
        <v>514042.18</v>
      </c>
      <c r="M1071" t="s">
        <v>576</v>
      </c>
      <c r="N1071" t="s">
        <v>575</v>
      </c>
    </row>
    <row r="1072" spans="1:14" x14ac:dyDescent="0.25">
      <c r="A1072" s="18">
        <v>46027</v>
      </c>
      <c r="B1072" t="s">
        <v>319</v>
      </c>
      <c r="C1072" t="s">
        <v>314</v>
      </c>
      <c r="D1072" t="s">
        <v>315</v>
      </c>
      <c r="E1072" t="s">
        <v>362</v>
      </c>
      <c r="F1072" t="s">
        <v>21</v>
      </c>
      <c r="G1072">
        <v>-6740</v>
      </c>
      <c r="H1072">
        <v>29.898099999999999</v>
      </c>
      <c r="I1072">
        <v>201513.19399999999</v>
      </c>
      <c r="K1072">
        <v>29.898099999999999</v>
      </c>
      <c r="L1072">
        <v>201513.19399999999</v>
      </c>
      <c r="M1072" t="s">
        <v>315</v>
      </c>
      <c r="N1072" t="s">
        <v>314</v>
      </c>
    </row>
    <row r="1073" spans="1:14" x14ac:dyDescent="0.25">
      <c r="A1073" s="18">
        <v>46027</v>
      </c>
      <c r="B1073" t="s">
        <v>319</v>
      </c>
      <c r="C1073" t="s">
        <v>323</v>
      </c>
      <c r="D1073" t="s">
        <v>39</v>
      </c>
      <c r="E1073" t="s">
        <v>40</v>
      </c>
      <c r="F1073" t="s">
        <v>36</v>
      </c>
      <c r="G1073">
        <v>-1950</v>
      </c>
      <c r="H1073">
        <v>35.215499999999999</v>
      </c>
      <c r="I1073">
        <v>68670.224999999991</v>
      </c>
      <c r="K1073">
        <v>35.215499999999999</v>
      </c>
      <c r="L1073">
        <v>68670.224999999991</v>
      </c>
      <c r="M1073" t="s">
        <v>39</v>
      </c>
      <c r="N1073" t="s">
        <v>323</v>
      </c>
    </row>
    <row r="1074" spans="1:14" x14ac:dyDescent="0.25">
      <c r="A1074" s="18">
        <v>46028</v>
      </c>
      <c r="B1074" t="s">
        <v>289</v>
      </c>
      <c r="C1074" t="s">
        <v>736</v>
      </c>
      <c r="D1074" t="s">
        <v>147</v>
      </c>
      <c r="E1074" t="s">
        <v>737</v>
      </c>
      <c r="F1074" t="s">
        <v>49</v>
      </c>
      <c r="G1074">
        <v>900000</v>
      </c>
      <c r="H1074">
        <v>105.11771111111101</v>
      </c>
      <c r="I1074">
        <v>-946059.39999999909</v>
      </c>
      <c r="K1074">
        <v>105.11771111111101</v>
      </c>
      <c r="L1074">
        <v>-946059.39999999909</v>
      </c>
      <c r="M1074" t="s">
        <v>147</v>
      </c>
      <c r="N1074" t="s">
        <v>736</v>
      </c>
    </row>
    <row r="1075" spans="1:14" x14ac:dyDescent="0.25">
      <c r="A1075" s="18">
        <v>46028</v>
      </c>
      <c r="B1075" t="s">
        <v>319</v>
      </c>
      <c r="C1075" t="s">
        <v>477</v>
      </c>
      <c r="D1075" t="s">
        <v>478</v>
      </c>
      <c r="E1075" t="s">
        <v>277</v>
      </c>
      <c r="F1075" t="s">
        <v>157</v>
      </c>
      <c r="G1075">
        <v>-11727</v>
      </c>
      <c r="H1075">
        <v>185.3</v>
      </c>
      <c r="I1075">
        <v>2173013.1</v>
      </c>
      <c r="K1075">
        <v>185.3</v>
      </c>
      <c r="L1075">
        <v>2173013.1</v>
      </c>
      <c r="M1075" t="s">
        <v>478</v>
      </c>
      <c r="N1075" t="s">
        <v>477</v>
      </c>
    </row>
    <row r="1076" spans="1:14" x14ac:dyDescent="0.25">
      <c r="A1076" s="18">
        <v>46028</v>
      </c>
      <c r="B1076" t="s">
        <v>289</v>
      </c>
      <c r="C1076" t="s">
        <v>711</v>
      </c>
      <c r="D1076" t="s">
        <v>738</v>
      </c>
      <c r="E1076" t="s">
        <v>713</v>
      </c>
      <c r="F1076" t="s">
        <v>36</v>
      </c>
      <c r="G1076">
        <v>3</v>
      </c>
      <c r="H1076">
        <v>10129</v>
      </c>
      <c r="I1076">
        <v>-303870</v>
      </c>
      <c r="K1076">
        <v>10129</v>
      </c>
      <c r="L1076">
        <v>-303870</v>
      </c>
      <c r="M1076" t="s">
        <v>738</v>
      </c>
      <c r="N1076" t="s">
        <v>711</v>
      </c>
    </row>
    <row r="1077" spans="1:14" x14ac:dyDescent="0.25">
      <c r="A1077" s="18">
        <v>46028</v>
      </c>
      <c r="B1077" t="s">
        <v>289</v>
      </c>
      <c r="C1077" t="s">
        <v>670</v>
      </c>
      <c r="D1077" t="s">
        <v>671</v>
      </c>
      <c r="E1077" t="s">
        <v>672</v>
      </c>
      <c r="F1077" t="s">
        <v>21</v>
      </c>
      <c r="G1077">
        <v>565</v>
      </c>
      <c r="H1077">
        <v>128.5823</v>
      </c>
      <c r="I1077">
        <v>-72648.999500000005</v>
      </c>
      <c r="K1077">
        <v>128.5823</v>
      </c>
      <c r="L1077">
        <v>-72648.999500000005</v>
      </c>
      <c r="M1077" t="s">
        <v>671</v>
      </c>
      <c r="N1077" t="s">
        <v>670</v>
      </c>
    </row>
    <row r="1078" spans="1:14" x14ac:dyDescent="0.25">
      <c r="A1078" s="18">
        <v>46028</v>
      </c>
      <c r="B1078" t="s">
        <v>319</v>
      </c>
      <c r="C1078" t="s">
        <v>290</v>
      </c>
      <c r="D1078" t="s">
        <v>45</v>
      </c>
      <c r="E1078" t="s">
        <v>46</v>
      </c>
      <c r="F1078" t="s">
        <v>21</v>
      </c>
      <c r="G1078">
        <v>-5012</v>
      </c>
      <c r="H1078">
        <v>49.727499999999999</v>
      </c>
      <c r="I1078">
        <v>249234.22999999998</v>
      </c>
      <c r="K1078">
        <v>49.727499999999999</v>
      </c>
      <c r="L1078">
        <v>249234.22999999998</v>
      </c>
      <c r="M1078" t="s">
        <v>45</v>
      </c>
      <c r="N1078" t="s">
        <v>290</v>
      </c>
    </row>
    <row r="1079" spans="1:14" x14ac:dyDescent="0.25">
      <c r="A1079" s="18">
        <v>46028</v>
      </c>
      <c r="B1079" t="s">
        <v>319</v>
      </c>
      <c r="C1079" t="s">
        <v>334</v>
      </c>
      <c r="D1079" t="s">
        <v>335</v>
      </c>
      <c r="E1079" t="s">
        <v>252</v>
      </c>
      <c r="F1079" t="s">
        <v>21</v>
      </c>
      <c r="G1079">
        <v>-2802</v>
      </c>
      <c r="H1079">
        <v>70.94</v>
      </c>
      <c r="I1079">
        <v>198773.88</v>
      </c>
      <c r="K1079">
        <v>70.94</v>
      </c>
      <c r="L1079">
        <v>198773.88</v>
      </c>
      <c r="M1079" t="s">
        <v>335</v>
      </c>
      <c r="N1079" t="s">
        <v>334</v>
      </c>
    </row>
    <row r="1080" spans="1:14" x14ac:dyDescent="0.25">
      <c r="A1080" s="18">
        <v>46028</v>
      </c>
      <c r="B1080" t="s">
        <v>319</v>
      </c>
      <c r="C1080" t="s">
        <v>290</v>
      </c>
      <c r="D1080" t="s">
        <v>45</v>
      </c>
      <c r="E1080" t="s">
        <v>46</v>
      </c>
      <c r="F1080" t="s">
        <v>21</v>
      </c>
      <c r="G1080">
        <v>-3000</v>
      </c>
      <c r="H1080">
        <v>49.569000000000003</v>
      </c>
      <c r="I1080">
        <v>148707</v>
      </c>
      <c r="K1080">
        <v>49.569000000000003</v>
      </c>
      <c r="L1080">
        <v>148707</v>
      </c>
      <c r="M1080" t="s">
        <v>45</v>
      </c>
      <c r="N1080" t="s">
        <v>290</v>
      </c>
    </row>
    <row r="1081" spans="1:14" x14ac:dyDescent="0.25">
      <c r="A1081" s="18">
        <v>46028</v>
      </c>
      <c r="B1081" t="s">
        <v>289</v>
      </c>
      <c r="C1081" t="s">
        <v>479</v>
      </c>
      <c r="D1081" t="s">
        <v>480</v>
      </c>
      <c r="E1081" t="s">
        <v>481</v>
      </c>
      <c r="F1081" t="s">
        <v>21</v>
      </c>
      <c r="G1081">
        <v>467</v>
      </c>
      <c r="H1081">
        <v>221.4</v>
      </c>
      <c r="I1081">
        <v>-103393.8</v>
      </c>
      <c r="K1081">
        <v>221.4</v>
      </c>
      <c r="L1081">
        <v>-103393.8</v>
      </c>
      <c r="M1081" t="s">
        <v>480</v>
      </c>
      <c r="N1081" t="s">
        <v>479</v>
      </c>
    </row>
    <row r="1082" spans="1:14" x14ac:dyDescent="0.25">
      <c r="A1082" s="18">
        <v>46028</v>
      </c>
      <c r="B1082" t="s">
        <v>289</v>
      </c>
      <c r="C1082" t="s">
        <v>691</v>
      </c>
      <c r="D1082" t="s">
        <v>692</v>
      </c>
      <c r="E1082" t="s">
        <v>693</v>
      </c>
      <c r="F1082" t="s">
        <v>49</v>
      </c>
      <c r="G1082">
        <v>3123</v>
      </c>
      <c r="H1082">
        <v>55.518700000000003</v>
      </c>
      <c r="I1082">
        <v>-173384.9001</v>
      </c>
      <c r="K1082">
        <v>55.518700000000003</v>
      </c>
      <c r="L1082">
        <v>-173384.9001</v>
      </c>
      <c r="M1082" t="s">
        <v>692</v>
      </c>
      <c r="N1082" t="s">
        <v>691</v>
      </c>
    </row>
    <row r="1083" spans="1:14" x14ac:dyDescent="0.25">
      <c r="A1083" s="18">
        <v>46028</v>
      </c>
      <c r="B1083" t="s">
        <v>289</v>
      </c>
      <c r="C1083" t="s">
        <v>739</v>
      </c>
      <c r="D1083" t="s">
        <v>740</v>
      </c>
      <c r="E1083" t="s">
        <v>741</v>
      </c>
      <c r="F1083" t="s">
        <v>49</v>
      </c>
      <c r="G1083">
        <v>364</v>
      </c>
      <c r="H1083">
        <v>328.49860000000001</v>
      </c>
      <c r="I1083">
        <v>-119573.49040000001</v>
      </c>
      <c r="K1083">
        <v>328.49860000000001</v>
      </c>
      <c r="L1083">
        <v>-119573.49040000001</v>
      </c>
      <c r="M1083" t="s">
        <v>740</v>
      </c>
      <c r="N1083" t="s">
        <v>739</v>
      </c>
    </row>
    <row r="1084" spans="1:14" x14ac:dyDescent="0.25">
      <c r="A1084" s="18">
        <v>46029</v>
      </c>
      <c r="B1084" t="s">
        <v>289</v>
      </c>
      <c r="C1084" t="s">
        <v>323</v>
      </c>
      <c r="D1084" t="s">
        <v>39</v>
      </c>
      <c r="E1084" t="s">
        <v>40</v>
      </c>
      <c r="F1084" t="s">
        <v>36</v>
      </c>
      <c r="G1084">
        <v>1179</v>
      </c>
      <c r="H1084">
        <v>34.938099999999999</v>
      </c>
      <c r="I1084">
        <v>-41192.019899999999</v>
      </c>
      <c r="K1084">
        <v>34.938099999999999</v>
      </c>
      <c r="L1084">
        <v>-41192.019899999999</v>
      </c>
      <c r="M1084" t="s">
        <v>39</v>
      </c>
      <c r="N1084" t="s">
        <v>323</v>
      </c>
    </row>
    <row r="1085" spans="1:14" x14ac:dyDescent="0.25">
      <c r="A1085" s="18">
        <v>46029</v>
      </c>
      <c r="B1085" t="s">
        <v>289</v>
      </c>
      <c r="C1085" t="s">
        <v>479</v>
      </c>
      <c r="D1085" t="s">
        <v>480</v>
      </c>
      <c r="E1085" t="s">
        <v>481</v>
      </c>
      <c r="F1085" t="s">
        <v>21</v>
      </c>
      <c r="G1085">
        <v>1131</v>
      </c>
      <c r="H1085">
        <v>222.35290000000001</v>
      </c>
      <c r="I1085">
        <v>-251481.1299</v>
      </c>
      <c r="K1085">
        <v>222.35290000000001</v>
      </c>
      <c r="L1085">
        <v>-251481.1299</v>
      </c>
      <c r="M1085" t="s">
        <v>480</v>
      </c>
      <c r="N1085" t="s">
        <v>479</v>
      </c>
    </row>
    <row r="1086" spans="1:14" x14ac:dyDescent="0.25">
      <c r="A1086" s="18">
        <v>46030</v>
      </c>
      <c r="B1086" t="s">
        <v>319</v>
      </c>
      <c r="C1086" t="s">
        <v>328</v>
      </c>
      <c r="D1086" t="s">
        <v>329</v>
      </c>
      <c r="E1086" t="s">
        <v>330</v>
      </c>
      <c r="F1086" t="s">
        <v>21</v>
      </c>
      <c r="G1086">
        <v>-41</v>
      </c>
      <c r="H1086">
        <v>1868</v>
      </c>
      <c r="I1086">
        <v>76588</v>
      </c>
      <c r="K1086">
        <v>1868</v>
      </c>
      <c r="L1086">
        <v>76588</v>
      </c>
      <c r="M1086" t="s">
        <v>329</v>
      </c>
      <c r="N1086" t="s">
        <v>328</v>
      </c>
    </row>
    <row r="1087" spans="1:14" x14ac:dyDescent="0.25">
      <c r="A1087" s="18">
        <v>46030</v>
      </c>
      <c r="B1087" t="s">
        <v>289</v>
      </c>
      <c r="C1087" t="s">
        <v>479</v>
      </c>
      <c r="D1087" t="s">
        <v>480</v>
      </c>
      <c r="E1087" t="s">
        <v>481</v>
      </c>
      <c r="F1087" t="s">
        <v>21</v>
      </c>
      <c r="G1087">
        <v>225</v>
      </c>
      <c r="H1087">
        <v>217.45</v>
      </c>
      <c r="I1087">
        <v>-48926.25</v>
      </c>
      <c r="K1087">
        <v>217.45</v>
      </c>
      <c r="L1087">
        <v>-48926.25</v>
      </c>
      <c r="M1087" t="s">
        <v>480</v>
      </c>
      <c r="N1087" t="s">
        <v>479</v>
      </c>
    </row>
    <row r="1088" spans="1:14" x14ac:dyDescent="0.25">
      <c r="A1088" s="18">
        <v>46030</v>
      </c>
      <c r="B1088" t="s">
        <v>289</v>
      </c>
      <c r="C1088" t="s">
        <v>318</v>
      </c>
      <c r="D1088" t="s">
        <v>22</v>
      </c>
      <c r="E1088" t="s">
        <v>23</v>
      </c>
      <c r="F1088" t="s">
        <v>21</v>
      </c>
      <c r="G1088">
        <v>3092</v>
      </c>
      <c r="H1088">
        <v>23.75</v>
      </c>
      <c r="I1088">
        <v>-73435</v>
      </c>
      <c r="K1088">
        <v>23.75</v>
      </c>
      <c r="L1088">
        <v>-73435</v>
      </c>
      <c r="M1088" t="s">
        <v>22</v>
      </c>
      <c r="N1088" t="s">
        <v>318</v>
      </c>
    </row>
    <row r="1089" spans="1:14" x14ac:dyDescent="0.25">
      <c r="A1089" s="18">
        <v>46030</v>
      </c>
      <c r="B1089" t="s">
        <v>319</v>
      </c>
      <c r="C1089" t="s">
        <v>311</v>
      </c>
      <c r="D1089" t="s">
        <v>312</v>
      </c>
      <c r="E1089" t="s">
        <v>313</v>
      </c>
      <c r="F1089" t="s">
        <v>21</v>
      </c>
      <c r="G1089">
        <v>-930</v>
      </c>
      <c r="H1089">
        <v>321.70620000000002</v>
      </c>
      <c r="I1089">
        <v>299186.766</v>
      </c>
      <c r="K1089">
        <v>321.70620000000002</v>
      </c>
      <c r="L1089">
        <v>299186.766</v>
      </c>
      <c r="M1089" t="s">
        <v>312</v>
      </c>
      <c r="N1089" t="s">
        <v>311</v>
      </c>
    </row>
    <row r="1090" spans="1:14" x14ac:dyDescent="0.25">
      <c r="A1090" s="18">
        <v>46030</v>
      </c>
      <c r="B1090" t="s">
        <v>289</v>
      </c>
      <c r="C1090" t="s">
        <v>361</v>
      </c>
      <c r="D1090" t="s">
        <v>93</v>
      </c>
      <c r="E1090" t="s">
        <v>94</v>
      </c>
      <c r="F1090" t="s">
        <v>21</v>
      </c>
      <c r="G1090">
        <v>580</v>
      </c>
      <c r="H1090">
        <v>127.2</v>
      </c>
      <c r="I1090">
        <v>-73776</v>
      </c>
      <c r="K1090">
        <v>127.2</v>
      </c>
      <c r="L1090">
        <v>-73776</v>
      </c>
      <c r="M1090" t="s">
        <v>93</v>
      </c>
      <c r="N1090" t="s">
        <v>361</v>
      </c>
    </row>
    <row r="1091" spans="1:14" x14ac:dyDescent="0.25">
      <c r="A1091" s="18">
        <v>46030</v>
      </c>
      <c r="B1091" t="s">
        <v>319</v>
      </c>
      <c r="C1091" t="s">
        <v>314</v>
      </c>
      <c r="D1091" t="s">
        <v>315</v>
      </c>
      <c r="E1091" t="s">
        <v>362</v>
      </c>
      <c r="F1091" t="s">
        <v>21</v>
      </c>
      <c r="G1091">
        <v>-2269</v>
      </c>
      <c r="H1091">
        <v>29.58</v>
      </c>
      <c r="I1091">
        <v>67117.01999999999</v>
      </c>
      <c r="K1091">
        <v>29.579999999999995</v>
      </c>
      <c r="L1091">
        <v>67117.01999999999</v>
      </c>
      <c r="M1091" t="s">
        <v>315</v>
      </c>
      <c r="N1091" t="s">
        <v>314</v>
      </c>
    </row>
    <row r="1092" spans="1:14" x14ac:dyDescent="0.25">
      <c r="A1092" s="18">
        <v>46030</v>
      </c>
      <c r="B1092" t="s">
        <v>319</v>
      </c>
      <c r="C1092" t="s">
        <v>694</v>
      </c>
      <c r="D1092" t="s">
        <v>695</v>
      </c>
      <c r="E1092" t="s">
        <v>696</v>
      </c>
      <c r="F1092" t="s">
        <v>157</v>
      </c>
      <c r="G1092">
        <v>-4700</v>
      </c>
      <c r="H1092">
        <v>476.4</v>
      </c>
      <c r="I1092">
        <v>2239080</v>
      </c>
      <c r="K1092">
        <v>476.4</v>
      </c>
      <c r="L1092">
        <v>2239080</v>
      </c>
      <c r="M1092" t="s">
        <v>695</v>
      </c>
      <c r="N1092" t="s">
        <v>694</v>
      </c>
    </row>
    <row r="1093" spans="1:14" x14ac:dyDescent="0.25">
      <c r="A1093" s="18">
        <v>46030</v>
      </c>
      <c r="B1093" t="s">
        <v>289</v>
      </c>
      <c r="C1093" t="s">
        <v>578</v>
      </c>
      <c r="D1093" t="s">
        <v>74</v>
      </c>
      <c r="E1093" t="s">
        <v>75</v>
      </c>
      <c r="F1093" t="s">
        <v>36</v>
      </c>
      <c r="G1093">
        <v>24690</v>
      </c>
      <c r="H1093">
        <v>1.7366999999999999</v>
      </c>
      <c r="I1093">
        <v>-42879.123</v>
      </c>
      <c r="K1093">
        <v>1.7366999999999999</v>
      </c>
      <c r="L1093">
        <v>-42879.123</v>
      </c>
      <c r="M1093" t="s">
        <v>74</v>
      </c>
      <c r="N1093" t="s">
        <v>578</v>
      </c>
    </row>
    <row r="1094" spans="1:14" x14ac:dyDescent="0.25">
      <c r="A1094" s="18">
        <v>46030</v>
      </c>
      <c r="B1094" t="s">
        <v>289</v>
      </c>
      <c r="C1094" t="s">
        <v>342</v>
      </c>
      <c r="D1094" t="s">
        <v>343</v>
      </c>
      <c r="E1094" t="s">
        <v>282</v>
      </c>
      <c r="F1094" t="s">
        <v>21</v>
      </c>
      <c r="G1094">
        <v>595</v>
      </c>
      <c r="H1094">
        <v>81.2</v>
      </c>
      <c r="I1094">
        <v>-48314</v>
      </c>
      <c r="K1094">
        <v>81.2</v>
      </c>
      <c r="L1094">
        <v>-48314</v>
      </c>
      <c r="M1094" t="s">
        <v>343</v>
      </c>
      <c r="N1094" t="s">
        <v>342</v>
      </c>
    </row>
    <row r="1095" spans="1:14" x14ac:dyDescent="0.25">
      <c r="A1095" s="18">
        <v>46030</v>
      </c>
      <c r="B1095" t="s">
        <v>319</v>
      </c>
      <c r="C1095" t="s">
        <v>694</v>
      </c>
      <c r="D1095" t="s">
        <v>695</v>
      </c>
      <c r="E1095" t="s">
        <v>696</v>
      </c>
      <c r="F1095" t="s">
        <v>157</v>
      </c>
      <c r="G1095">
        <v>-1566</v>
      </c>
      <c r="H1095">
        <v>472.79489999999998</v>
      </c>
      <c r="I1095">
        <v>740396.81339999998</v>
      </c>
      <c r="K1095">
        <v>472.79489999999998</v>
      </c>
      <c r="L1095">
        <v>740396.81339999998</v>
      </c>
      <c r="M1095" t="s">
        <v>695</v>
      </c>
      <c r="N1095" t="s">
        <v>694</v>
      </c>
    </row>
    <row r="1096" spans="1:14" x14ac:dyDescent="0.25">
      <c r="A1096" s="18">
        <v>46031</v>
      </c>
      <c r="B1096" t="s">
        <v>289</v>
      </c>
      <c r="C1096" t="s">
        <v>711</v>
      </c>
      <c r="D1096" t="s">
        <v>738</v>
      </c>
      <c r="E1096" t="s">
        <v>713</v>
      </c>
      <c r="F1096" t="s">
        <v>36</v>
      </c>
      <c r="G1096">
        <v>2</v>
      </c>
      <c r="H1096">
        <v>10094</v>
      </c>
      <c r="I1096">
        <v>-201880</v>
      </c>
      <c r="K1096">
        <v>10094</v>
      </c>
      <c r="L1096">
        <v>-201880</v>
      </c>
      <c r="M1096" t="s">
        <v>738</v>
      </c>
      <c r="N1096" t="s">
        <v>711</v>
      </c>
    </row>
    <row r="1097" spans="1:14" x14ac:dyDescent="0.25">
      <c r="A1097" s="18">
        <v>46031</v>
      </c>
      <c r="B1097" t="s">
        <v>289</v>
      </c>
      <c r="C1097" t="s">
        <v>479</v>
      </c>
      <c r="D1097" t="s">
        <v>480</v>
      </c>
      <c r="E1097" t="s">
        <v>481</v>
      </c>
      <c r="F1097" t="s">
        <v>21</v>
      </c>
      <c r="G1097">
        <v>226</v>
      </c>
      <c r="H1097">
        <v>216.5</v>
      </c>
      <c r="I1097">
        <v>-48929</v>
      </c>
      <c r="K1097">
        <v>216.5</v>
      </c>
      <c r="L1097">
        <v>-48929</v>
      </c>
      <c r="M1097" t="s">
        <v>480</v>
      </c>
      <c r="N1097" t="s">
        <v>479</v>
      </c>
    </row>
    <row r="1098" spans="1:14" x14ac:dyDescent="0.25">
      <c r="A1098" s="18">
        <v>46031</v>
      </c>
      <c r="B1098" t="s">
        <v>289</v>
      </c>
      <c r="C1098" t="s">
        <v>633</v>
      </c>
      <c r="D1098" t="s">
        <v>634</v>
      </c>
      <c r="E1098" t="s">
        <v>281</v>
      </c>
      <c r="F1098" t="s">
        <v>21</v>
      </c>
      <c r="G1098">
        <v>1080</v>
      </c>
      <c r="H1098">
        <v>45.15</v>
      </c>
      <c r="I1098">
        <v>-48762</v>
      </c>
      <c r="K1098">
        <v>45.15</v>
      </c>
      <c r="L1098">
        <v>-48762</v>
      </c>
      <c r="M1098" t="s">
        <v>634</v>
      </c>
      <c r="N1098" t="s">
        <v>633</v>
      </c>
    </row>
    <row r="1099" spans="1:14" x14ac:dyDescent="0.25">
      <c r="A1099" s="18">
        <v>46031</v>
      </c>
      <c r="B1099" t="s">
        <v>289</v>
      </c>
      <c r="C1099" t="s">
        <v>290</v>
      </c>
      <c r="D1099" t="s">
        <v>45</v>
      </c>
      <c r="E1099" t="s">
        <v>46</v>
      </c>
      <c r="F1099" t="s">
        <v>21</v>
      </c>
      <c r="G1099">
        <v>2000</v>
      </c>
      <c r="H1099">
        <v>49.32</v>
      </c>
      <c r="I1099">
        <v>-98640</v>
      </c>
      <c r="K1099">
        <v>49.32</v>
      </c>
      <c r="L1099">
        <v>-98640</v>
      </c>
      <c r="M1099" t="s">
        <v>45</v>
      </c>
      <c r="N1099" t="s">
        <v>290</v>
      </c>
    </row>
    <row r="1100" spans="1:14" x14ac:dyDescent="0.25">
      <c r="A1100" s="18">
        <v>46031</v>
      </c>
      <c r="B1100" t="s">
        <v>319</v>
      </c>
      <c r="C1100" t="s">
        <v>702</v>
      </c>
      <c r="D1100" t="s">
        <v>703</v>
      </c>
      <c r="E1100" t="s">
        <v>704</v>
      </c>
      <c r="F1100" t="s">
        <v>21</v>
      </c>
      <c r="G1100">
        <v>-929</v>
      </c>
      <c r="H1100">
        <v>213.2</v>
      </c>
      <c r="I1100">
        <v>198062.8</v>
      </c>
      <c r="K1100">
        <v>213.2</v>
      </c>
      <c r="L1100">
        <v>198062.8</v>
      </c>
      <c r="M1100" t="s">
        <v>703</v>
      </c>
      <c r="N1100" t="s">
        <v>702</v>
      </c>
    </row>
    <row r="1101" spans="1:14" x14ac:dyDescent="0.25">
      <c r="A1101" s="18">
        <v>46031</v>
      </c>
      <c r="B1101" t="s">
        <v>289</v>
      </c>
      <c r="C1101" t="s">
        <v>320</v>
      </c>
      <c r="D1101" t="s">
        <v>321</v>
      </c>
      <c r="E1101" t="s">
        <v>322</v>
      </c>
      <c r="F1101" t="s">
        <v>36</v>
      </c>
      <c r="G1101">
        <v>13050</v>
      </c>
      <c r="H1101">
        <v>13.25</v>
      </c>
      <c r="I1101">
        <v>-172912.5</v>
      </c>
      <c r="K1101">
        <v>13.25</v>
      </c>
      <c r="L1101">
        <v>-172912.5</v>
      </c>
      <c r="M1101" t="s">
        <v>321</v>
      </c>
      <c r="N1101" t="s">
        <v>320</v>
      </c>
    </row>
    <row r="1102" spans="1:14" x14ac:dyDescent="0.25">
      <c r="A1102" s="18">
        <v>46031</v>
      </c>
      <c r="B1102" t="s">
        <v>319</v>
      </c>
      <c r="C1102" t="s">
        <v>323</v>
      </c>
      <c r="D1102" t="s">
        <v>39</v>
      </c>
      <c r="E1102" t="s">
        <v>40</v>
      </c>
      <c r="F1102" t="s">
        <v>36</v>
      </c>
      <c r="G1102">
        <v>-1892</v>
      </c>
      <c r="H1102">
        <v>35.406500000000001</v>
      </c>
      <c r="I1102">
        <v>66989.097999999998</v>
      </c>
      <c r="K1102">
        <v>35.406500000000001</v>
      </c>
      <c r="L1102">
        <v>66989.097999999998</v>
      </c>
      <c r="M1102" t="s">
        <v>39</v>
      </c>
      <c r="N1102" t="s">
        <v>323</v>
      </c>
    </row>
    <row r="1103" spans="1:14" x14ac:dyDescent="0.25">
      <c r="A1103" s="18">
        <v>46031</v>
      </c>
      <c r="B1103" t="s">
        <v>319</v>
      </c>
      <c r="C1103" t="s">
        <v>694</v>
      </c>
      <c r="D1103" t="s">
        <v>695</v>
      </c>
      <c r="E1103" t="s">
        <v>696</v>
      </c>
      <c r="F1103" t="s">
        <v>157</v>
      </c>
      <c r="G1103">
        <v>-707</v>
      </c>
      <c r="H1103">
        <v>483.04070000000002</v>
      </c>
      <c r="I1103">
        <v>341509.77490000002</v>
      </c>
      <c r="K1103">
        <v>483.04070000000002</v>
      </c>
      <c r="L1103">
        <v>341509.77490000002</v>
      </c>
      <c r="M1103" t="s">
        <v>695</v>
      </c>
      <c r="N1103" t="s">
        <v>694</v>
      </c>
    </row>
    <row r="1104" spans="1:14" x14ac:dyDescent="0.25">
      <c r="A1104" s="18">
        <v>46031</v>
      </c>
      <c r="B1104" t="s">
        <v>289</v>
      </c>
      <c r="C1104" t="s">
        <v>311</v>
      </c>
      <c r="D1104" t="s">
        <v>312</v>
      </c>
      <c r="E1104" t="s">
        <v>313</v>
      </c>
      <c r="F1104" t="s">
        <v>21</v>
      </c>
      <c r="G1104">
        <v>235</v>
      </c>
      <c r="H1104">
        <v>315.10000000000002</v>
      </c>
      <c r="I1104">
        <v>-74048.5</v>
      </c>
      <c r="K1104">
        <v>315.10000000000002</v>
      </c>
      <c r="L1104">
        <v>-74048.5</v>
      </c>
      <c r="M1104" t="s">
        <v>312</v>
      </c>
      <c r="N1104" t="s">
        <v>311</v>
      </c>
    </row>
    <row r="1105" spans="1:14" x14ac:dyDescent="0.25">
      <c r="A1105" s="18">
        <v>46031</v>
      </c>
      <c r="B1105" t="s">
        <v>289</v>
      </c>
      <c r="C1105" t="s">
        <v>619</v>
      </c>
      <c r="D1105" t="s">
        <v>620</v>
      </c>
      <c r="E1105" t="s">
        <v>621</v>
      </c>
      <c r="F1105" t="s">
        <v>21</v>
      </c>
      <c r="G1105">
        <v>550</v>
      </c>
      <c r="H1105">
        <v>276.76440000000002</v>
      </c>
      <c r="I1105">
        <v>-152220.42000000001</v>
      </c>
      <c r="K1105">
        <v>276.76440000000002</v>
      </c>
      <c r="L1105">
        <v>-152220.42000000001</v>
      </c>
      <c r="M1105" t="s">
        <v>620</v>
      </c>
      <c r="N1105" t="s">
        <v>619</v>
      </c>
    </row>
    <row r="1106" spans="1:14" x14ac:dyDescent="0.25">
      <c r="A1106" s="18">
        <v>46034</v>
      </c>
      <c r="B1106" t="s">
        <v>319</v>
      </c>
      <c r="C1106" t="s">
        <v>334</v>
      </c>
      <c r="D1106" t="s">
        <v>335</v>
      </c>
      <c r="E1106" t="s">
        <v>252</v>
      </c>
      <c r="F1106" t="s">
        <v>21</v>
      </c>
      <c r="G1106">
        <v>-4787</v>
      </c>
      <c r="H1106">
        <v>71.279499999999999</v>
      </c>
      <c r="I1106">
        <v>341214.96649999998</v>
      </c>
      <c r="K1106">
        <v>71.279499999999999</v>
      </c>
      <c r="L1106">
        <v>341214.96649999998</v>
      </c>
      <c r="M1106" t="s">
        <v>335</v>
      </c>
      <c r="N1106" t="s">
        <v>334</v>
      </c>
    </row>
    <row r="1107" spans="1:14" x14ac:dyDescent="0.25">
      <c r="A1107" s="18">
        <v>46034</v>
      </c>
      <c r="B1107" t="s">
        <v>289</v>
      </c>
      <c r="C1107" t="s">
        <v>742</v>
      </c>
      <c r="D1107" t="s">
        <v>50</v>
      </c>
      <c r="E1107" t="s">
        <v>743</v>
      </c>
      <c r="F1107" t="s">
        <v>21</v>
      </c>
      <c r="G1107">
        <v>14000</v>
      </c>
      <c r="H1107">
        <v>11.991899999999999</v>
      </c>
      <c r="I1107">
        <v>-167886.59999999998</v>
      </c>
      <c r="K1107">
        <v>11.991899999999998</v>
      </c>
      <c r="L1107">
        <v>-167886.59999999998</v>
      </c>
      <c r="M1107" t="s">
        <v>50</v>
      </c>
      <c r="N1107" t="s">
        <v>742</v>
      </c>
    </row>
    <row r="1108" spans="1:14" x14ac:dyDescent="0.25">
      <c r="A1108" s="18">
        <v>46034</v>
      </c>
      <c r="B1108" t="s">
        <v>289</v>
      </c>
      <c r="C1108" t="s">
        <v>744</v>
      </c>
      <c r="D1108" t="s">
        <v>56</v>
      </c>
      <c r="E1108" t="s">
        <v>745</v>
      </c>
      <c r="F1108" t="s">
        <v>21</v>
      </c>
      <c r="G1108">
        <v>5550</v>
      </c>
      <c r="H1108">
        <v>30.415500000000002</v>
      </c>
      <c r="I1108">
        <v>-168806.02499999999</v>
      </c>
      <c r="K1108">
        <v>30.415499999999998</v>
      </c>
      <c r="L1108">
        <v>-168806.02499999999</v>
      </c>
      <c r="M1108" t="s">
        <v>56</v>
      </c>
      <c r="N1108" t="s">
        <v>744</v>
      </c>
    </row>
    <row r="1109" spans="1:14" x14ac:dyDescent="0.25">
      <c r="A1109" s="18">
        <v>46034</v>
      </c>
      <c r="B1109" t="s">
        <v>289</v>
      </c>
      <c r="C1109" t="s">
        <v>619</v>
      </c>
      <c r="D1109" t="s">
        <v>620</v>
      </c>
      <c r="E1109" t="s">
        <v>621</v>
      </c>
      <c r="F1109" t="s">
        <v>21</v>
      </c>
      <c r="G1109">
        <v>360</v>
      </c>
      <c r="H1109">
        <v>275</v>
      </c>
      <c r="I1109">
        <v>-99000</v>
      </c>
      <c r="K1109">
        <v>275</v>
      </c>
      <c r="L1109">
        <v>-99000</v>
      </c>
      <c r="M1109" t="s">
        <v>620</v>
      </c>
      <c r="N1109" t="s">
        <v>619</v>
      </c>
    </row>
    <row r="1110" spans="1:14" x14ac:dyDescent="0.25">
      <c r="A1110" s="18">
        <v>46034</v>
      </c>
      <c r="B1110" t="s">
        <v>289</v>
      </c>
      <c r="C1110" t="s">
        <v>732</v>
      </c>
      <c r="D1110" t="s">
        <v>64</v>
      </c>
      <c r="E1110" t="s">
        <v>65</v>
      </c>
      <c r="F1110" t="s">
        <v>49</v>
      </c>
      <c r="G1110">
        <v>109</v>
      </c>
      <c r="H1110">
        <v>1073.4100000000001</v>
      </c>
      <c r="I1110">
        <v>-117001.69</v>
      </c>
      <c r="K1110">
        <v>1073.4100000000001</v>
      </c>
      <c r="L1110">
        <v>-117001.69</v>
      </c>
      <c r="M1110" t="s">
        <v>64</v>
      </c>
      <c r="N1110" t="s">
        <v>732</v>
      </c>
    </row>
    <row r="1111" spans="1:14" x14ac:dyDescent="0.25">
      <c r="A1111" s="18">
        <v>46034</v>
      </c>
      <c r="B1111" t="s">
        <v>319</v>
      </c>
      <c r="C1111" t="s">
        <v>551</v>
      </c>
      <c r="D1111" t="s">
        <v>552</v>
      </c>
      <c r="E1111" t="s">
        <v>553</v>
      </c>
      <c r="F1111" t="s">
        <v>21</v>
      </c>
      <c r="G1111">
        <v>-4460</v>
      </c>
      <c r="H1111">
        <v>44.82</v>
      </c>
      <c r="I1111">
        <v>199897.2</v>
      </c>
      <c r="K1111">
        <v>44.82</v>
      </c>
      <c r="L1111">
        <v>199897.2</v>
      </c>
      <c r="M1111" t="s">
        <v>552</v>
      </c>
      <c r="N1111" t="s">
        <v>551</v>
      </c>
    </row>
    <row r="1112" spans="1:14" x14ac:dyDescent="0.25">
      <c r="A1112" s="18">
        <v>46035</v>
      </c>
      <c r="B1112" t="s">
        <v>319</v>
      </c>
      <c r="C1112" t="s">
        <v>493</v>
      </c>
      <c r="D1112" t="s">
        <v>28</v>
      </c>
      <c r="E1112" t="s">
        <v>29</v>
      </c>
      <c r="F1112" t="s">
        <v>21</v>
      </c>
      <c r="G1112">
        <v>-422</v>
      </c>
      <c r="H1112">
        <v>237.28200000000001</v>
      </c>
      <c r="I1112">
        <v>100133.004</v>
      </c>
      <c r="K1112">
        <v>237.28200000000001</v>
      </c>
      <c r="L1112">
        <v>100133.004</v>
      </c>
      <c r="M1112" t="s">
        <v>28</v>
      </c>
      <c r="N1112" t="s">
        <v>493</v>
      </c>
    </row>
    <row r="1113" spans="1:14" x14ac:dyDescent="0.25">
      <c r="A1113" s="18">
        <v>46035</v>
      </c>
      <c r="B1113" t="s">
        <v>319</v>
      </c>
      <c r="C1113" t="s">
        <v>311</v>
      </c>
      <c r="D1113" t="s">
        <v>312</v>
      </c>
      <c r="E1113" t="s">
        <v>313</v>
      </c>
      <c r="F1113" t="s">
        <v>21</v>
      </c>
      <c r="G1113">
        <v>-314</v>
      </c>
      <c r="H1113">
        <v>320</v>
      </c>
      <c r="I1113">
        <v>100480</v>
      </c>
      <c r="K1113">
        <v>320</v>
      </c>
      <c r="L1113">
        <v>100480</v>
      </c>
      <c r="M1113" t="s">
        <v>312</v>
      </c>
      <c r="N1113" t="s">
        <v>311</v>
      </c>
    </row>
    <row r="1114" spans="1:14" x14ac:dyDescent="0.25">
      <c r="A1114" s="18">
        <v>46035</v>
      </c>
      <c r="B1114" t="s">
        <v>319</v>
      </c>
      <c r="C1114" t="s">
        <v>587</v>
      </c>
      <c r="D1114" t="s">
        <v>588</v>
      </c>
      <c r="E1114" t="s">
        <v>589</v>
      </c>
      <c r="F1114" t="s">
        <v>21</v>
      </c>
      <c r="G1114">
        <v>-6430</v>
      </c>
      <c r="H1114">
        <v>15.57</v>
      </c>
      <c r="I1114">
        <v>100115.1</v>
      </c>
      <c r="K1114">
        <v>15.57</v>
      </c>
      <c r="L1114">
        <v>100115.1</v>
      </c>
      <c r="M1114" t="s">
        <v>588</v>
      </c>
      <c r="N1114" t="s">
        <v>587</v>
      </c>
    </row>
    <row r="1115" spans="1:14" x14ac:dyDescent="0.25">
      <c r="A1115" s="18">
        <v>46035</v>
      </c>
      <c r="B1115" t="s">
        <v>319</v>
      </c>
      <c r="C1115" t="s">
        <v>452</v>
      </c>
      <c r="D1115" t="s">
        <v>453</v>
      </c>
      <c r="E1115" t="s">
        <v>454</v>
      </c>
      <c r="F1115" t="s">
        <v>162</v>
      </c>
      <c r="G1115">
        <v>-8890</v>
      </c>
      <c r="H1115">
        <v>182.42500000000001</v>
      </c>
      <c r="I1115">
        <v>1621758.25</v>
      </c>
      <c r="K1115">
        <v>182.42500000000001</v>
      </c>
      <c r="L1115">
        <v>1621758.25</v>
      </c>
      <c r="M1115" t="s">
        <v>453</v>
      </c>
      <c r="N1115" t="s">
        <v>452</v>
      </c>
    </row>
    <row r="1116" spans="1:14" x14ac:dyDescent="0.25">
      <c r="A1116" s="18">
        <v>46035</v>
      </c>
      <c r="B1116" t="s">
        <v>319</v>
      </c>
      <c r="C1116" t="s">
        <v>641</v>
      </c>
      <c r="D1116" t="s">
        <v>37</v>
      </c>
      <c r="E1116" t="s">
        <v>38</v>
      </c>
      <c r="F1116" t="s">
        <v>36</v>
      </c>
      <c r="G1116">
        <v>-2750</v>
      </c>
      <c r="H1116">
        <v>31.396999999999998</v>
      </c>
      <c r="I1116">
        <v>86341.75</v>
      </c>
      <c r="K1116">
        <v>31.396999999999998</v>
      </c>
      <c r="L1116">
        <v>86341.75</v>
      </c>
      <c r="M1116" t="s">
        <v>37</v>
      </c>
      <c r="N1116" t="s">
        <v>641</v>
      </c>
    </row>
    <row r="1117" spans="1:14" x14ac:dyDescent="0.25">
      <c r="A1117" s="18">
        <v>46035</v>
      </c>
      <c r="B1117" t="s">
        <v>319</v>
      </c>
      <c r="C1117" t="s">
        <v>484</v>
      </c>
      <c r="D1117" t="s">
        <v>30</v>
      </c>
      <c r="E1117" t="s">
        <v>31</v>
      </c>
      <c r="F1117" t="s">
        <v>21</v>
      </c>
      <c r="G1117">
        <v>-582</v>
      </c>
      <c r="H1117">
        <v>169.95</v>
      </c>
      <c r="I1117">
        <v>98910.9</v>
      </c>
      <c r="K1117">
        <v>169.95</v>
      </c>
      <c r="L1117">
        <v>98910.9</v>
      </c>
      <c r="M1117" t="s">
        <v>30</v>
      </c>
      <c r="N1117" t="s">
        <v>484</v>
      </c>
    </row>
    <row r="1118" spans="1:14" x14ac:dyDescent="0.25">
      <c r="A1118" s="18">
        <v>46035</v>
      </c>
      <c r="B1118" t="s">
        <v>319</v>
      </c>
      <c r="C1118" t="s">
        <v>290</v>
      </c>
      <c r="D1118" t="s">
        <v>45</v>
      </c>
      <c r="E1118" t="s">
        <v>46</v>
      </c>
      <c r="F1118" t="s">
        <v>21</v>
      </c>
      <c r="G1118">
        <v>-2040</v>
      </c>
      <c r="H1118">
        <v>49.040799999999997</v>
      </c>
      <c r="I1118">
        <v>100043.23199999999</v>
      </c>
      <c r="K1118">
        <v>49.040799999999997</v>
      </c>
      <c r="L1118">
        <v>100043.23199999999</v>
      </c>
      <c r="M1118" t="s">
        <v>45</v>
      </c>
      <c r="N1118" t="s">
        <v>290</v>
      </c>
    </row>
    <row r="1119" spans="1:14" x14ac:dyDescent="0.25">
      <c r="A1119" s="18">
        <v>46035</v>
      </c>
      <c r="B1119" t="s">
        <v>319</v>
      </c>
      <c r="C1119" t="s">
        <v>325</v>
      </c>
      <c r="D1119" t="s">
        <v>47</v>
      </c>
      <c r="E1119" t="s">
        <v>48</v>
      </c>
      <c r="F1119" t="s">
        <v>36</v>
      </c>
      <c r="G1119">
        <v>-1782</v>
      </c>
      <c r="H1119">
        <v>96.206699999999998</v>
      </c>
      <c r="I1119">
        <v>171440.3394</v>
      </c>
      <c r="K1119">
        <v>96.206699999999998</v>
      </c>
      <c r="L1119">
        <v>171440.3394</v>
      </c>
      <c r="M1119" t="s">
        <v>47</v>
      </c>
      <c r="N1119" t="s">
        <v>325</v>
      </c>
    </row>
    <row r="1120" spans="1:14" x14ac:dyDescent="0.25">
      <c r="A1120" s="18">
        <v>46035</v>
      </c>
      <c r="B1120" t="s">
        <v>289</v>
      </c>
      <c r="C1120" t="s">
        <v>342</v>
      </c>
      <c r="D1120" t="s">
        <v>343</v>
      </c>
      <c r="E1120" t="s">
        <v>282</v>
      </c>
      <c r="F1120" t="s">
        <v>21</v>
      </c>
      <c r="G1120">
        <v>1160</v>
      </c>
      <c r="H1120">
        <v>84.750200000000007</v>
      </c>
      <c r="I1120">
        <v>-98310.232000000004</v>
      </c>
      <c r="K1120">
        <v>84.750200000000007</v>
      </c>
      <c r="L1120">
        <v>-98310.232000000004</v>
      </c>
      <c r="M1120" t="s">
        <v>343</v>
      </c>
      <c r="N1120" t="s">
        <v>342</v>
      </c>
    </row>
    <row r="1121" spans="1:14" x14ac:dyDescent="0.25">
      <c r="A1121" s="18">
        <v>46035</v>
      </c>
      <c r="B1121" t="s">
        <v>319</v>
      </c>
      <c r="C1121" t="s">
        <v>331</v>
      </c>
      <c r="D1121" t="s">
        <v>332</v>
      </c>
      <c r="E1121" t="s">
        <v>333</v>
      </c>
      <c r="F1121" t="s">
        <v>21</v>
      </c>
      <c r="G1121">
        <v>-88</v>
      </c>
      <c r="H1121">
        <v>1429.3773000000001</v>
      </c>
      <c r="I1121">
        <v>125785.20240000001</v>
      </c>
      <c r="K1121">
        <v>1429.3773000000001</v>
      </c>
      <c r="L1121">
        <v>125785.20240000001</v>
      </c>
      <c r="M1121" t="s">
        <v>332</v>
      </c>
      <c r="N1121" t="s">
        <v>331</v>
      </c>
    </row>
    <row r="1122" spans="1:14" x14ac:dyDescent="0.25">
      <c r="A1122" s="18">
        <v>46035</v>
      </c>
      <c r="B1122" t="s">
        <v>319</v>
      </c>
      <c r="C1122" t="s">
        <v>633</v>
      </c>
      <c r="D1122" t="s">
        <v>634</v>
      </c>
      <c r="E1122" t="s">
        <v>281</v>
      </c>
      <c r="F1122" t="s">
        <v>21</v>
      </c>
      <c r="G1122">
        <v>-2200</v>
      </c>
      <c r="H1122">
        <v>44.8782</v>
      </c>
      <c r="I1122">
        <v>98732.04</v>
      </c>
      <c r="K1122">
        <v>44.8782</v>
      </c>
      <c r="L1122">
        <v>98732.04</v>
      </c>
      <c r="M1122" t="s">
        <v>634</v>
      </c>
      <c r="N1122" t="s">
        <v>633</v>
      </c>
    </row>
    <row r="1123" spans="1:14" x14ac:dyDescent="0.25">
      <c r="A1123" s="18">
        <v>46035</v>
      </c>
      <c r="B1123" t="s">
        <v>319</v>
      </c>
      <c r="C1123" t="s">
        <v>361</v>
      </c>
      <c r="D1123" t="s">
        <v>93</v>
      </c>
      <c r="E1123" t="s">
        <v>94</v>
      </c>
      <c r="F1123" t="s">
        <v>21</v>
      </c>
      <c r="G1123">
        <v>-589</v>
      </c>
      <c r="H1123">
        <v>127.69580000000001</v>
      </c>
      <c r="I1123">
        <v>75212.82620000001</v>
      </c>
      <c r="K1123">
        <v>127.69580000000002</v>
      </c>
      <c r="L1123">
        <v>75212.82620000001</v>
      </c>
      <c r="M1123" t="s">
        <v>93</v>
      </c>
      <c r="N1123" t="s">
        <v>361</v>
      </c>
    </row>
    <row r="1124" spans="1:14" x14ac:dyDescent="0.25">
      <c r="A1124" s="18">
        <v>46035</v>
      </c>
      <c r="B1124" t="s">
        <v>319</v>
      </c>
      <c r="C1124" t="s">
        <v>688</v>
      </c>
      <c r="D1124" t="s">
        <v>689</v>
      </c>
      <c r="E1124" t="s">
        <v>690</v>
      </c>
      <c r="F1124" t="s">
        <v>82</v>
      </c>
      <c r="G1124">
        <v>-780</v>
      </c>
      <c r="H1124">
        <v>59.64</v>
      </c>
      <c r="I1124">
        <v>46519.199999999997</v>
      </c>
      <c r="K1124">
        <v>59.639999999999993</v>
      </c>
      <c r="L1124">
        <v>46519.199999999997</v>
      </c>
      <c r="M1124" t="s">
        <v>689</v>
      </c>
      <c r="N1124" t="s">
        <v>688</v>
      </c>
    </row>
    <row r="1125" spans="1:14" x14ac:dyDescent="0.25">
      <c r="A1125" s="18">
        <v>46035</v>
      </c>
      <c r="B1125" t="s">
        <v>319</v>
      </c>
      <c r="C1125" t="s">
        <v>670</v>
      </c>
      <c r="D1125" t="s">
        <v>671</v>
      </c>
      <c r="E1125" t="s">
        <v>672</v>
      </c>
      <c r="F1125" t="s">
        <v>21</v>
      </c>
      <c r="G1125">
        <v>-410</v>
      </c>
      <c r="H1125">
        <v>122.68729999999999</v>
      </c>
      <c r="I1125">
        <v>50301.792999999998</v>
      </c>
      <c r="K1125">
        <v>122.68729999999999</v>
      </c>
      <c r="L1125">
        <v>50301.792999999998</v>
      </c>
      <c r="M1125" t="s">
        <v>671</v>
      </c>
      <c r="N1125" t="s">
        <v>670</v>
      </c>
    </row>
    <row r="1126" spans="1:14" x14ac:dyDescent="0.25">
      <c r="A1126" s="18">
        <v>46035</v>
      </c>
      <c r="B1126" t="s">
        <v>319</v>
      </c>
      <c r="C1126" t="s">
        <v>551</v>
      </c>
      <c r="D1126" t="s">
        <v>552</v>
      </c>
      <c r="E1126" t="s">
        <v>553</v>
      </c>
      <c r="F1126" t="s">
        <v>21</v>
      </c>
      <c r="G1126">
        <v>-2250</v>
      </c>
      <c r="H1126">
        <v>44.97</v>
      </c>
      <c r="I1126">
        <v>101182.5</v>
      </c>
      <c r="K1126">
        <v>44.97</v>
      </c>
      <c r="L1126">
        <v>101182.5</v>
      </c>
      <c r="M1126" t="s">
        <v>552</v>
      </c>
      <c r="N1126" t="s">
        <v>551</v>
      </c>
    </row>
    <row r="1127" spans="1:14" x14ac:dyDescent="0.25">
      <c r="A1127" s="18">
        <v>46035</v>
      </c>
      <c r="B1127" t="s">
        <v>289</v>
      </c>
      <c r="C1127" t="s">
        <v>746</v>
      </c>
      <c r="D1127" t="s">
        <v>52</v>
      </c>
      <c r="E1127" t="s">
        <v>53</v>
      </c>
      <c r="F1127" t="s">
        <v>21</v>
      </c>
      <c r="G1127">
        <v>2557</v>
      </c>
      <c r="H1127">
        <v>58.48</v>
      </c>
      <c r="I1127">
        <v>-149533.35999999999</v>
      </c>
      <c r="K1127">
        <v>58.48</v>
      </c>
      <c r="L1127">
        <v>-149533.35999999999</v>
      </c>
      <c r="M1127" t="s">
        <v>52</v>
      </c>
      <c r="N1127" t="s">
        <v>746</v>
      </c>
    </row>
    <row r="1128" spans="1:14" x14ac:dyDescent="0.25">
      <c r="A1128" s="18">
        <v>46035</v>
      </c>
      <c r="B1128" t="s">
        <v>319</v>
      </c>
      <c r="C1128" t="s">
        <v>325</v>
      </c>
      <c r="D1128" t="s">
        <v>47</v>
      </c>
      <c r="E1128" t="s">
        <v>48</v>
      </c>
      <c r="F1128" t="s">
        <v>36</v>
      </c>
      <c r="G1128">
        <v>-1340</v>
      </c>
      <c r="H1128">
        <v>95.42</v>
      </c>
      <c r="I1128">
        <v>127862.8</v>
      </c>
      <c r="K1128">
        <v>95.42</v>
      </c>
      <c r="L1128">
        <v>127862.8</v>
      </c>
      <c r="M1128" t="s">
        <v>47</v>
      </c>
      <c r="N1128" t="s">
        <v>325</v>
      </c>
    </row>
    <row r="1129" spans="1:14" x14ac:dyDescent="0.25">
      <c r="A1129" s="18">
        <v>46035</v>
      </c>
      <c r="B1129" t="s">
        <v>319</v>
      </c>
      <c r="C1129" t="s">
        <v>697</v>
      </c>
      <c r="D1129" t="s">
        <v>698</v>
      </c>
      <c r="E1129" t="s">
        <v>699</v>
      </c>
      <c r="F1129" t="s">
        <v>21</v>
      </c>
      <c r="G1129">
        <v>-1284</v>
      </c>
      <c r="H1129">
        <v>75.799800000000005</v>
      </c>
      <c r="I1129">
        <v>97326.943200000009</v>
      </c>
      <c r="K1129">
        <v>75.799800000000005</v>
      </c>
      <c r="L1129">
        <v>97326.943200000009</v>
      </c>
      <c r="M1129" t="s">
        <v>698</v>
      </c>
      <c r="N1129" t="s">
        <v>697</v>
      </c>
    </row>
    <row r="1130" spans="1:14" x14ac:dyDescent="0.25">
      <c r="A1130" s="18">
        <v>46035</v>
      </c>
      <c r="B1130" t="s">
        <v>289</v>
      </c>
      <c r="C1130" t="s">
        <v>714</v>
      </c>
      <c r="D1130" t="s">
        <v>715</v>
      </c>
      <c r="E1130" t="s">
        <v>716</v>
      </c>
      <c r="F1130" t="s">
        <v>21</v>
      </c>
      <c r="G1130">
        <v>3</v>
      </c>
      <c r="H1130">
        <v>6046</v>
      </c>
      <c r="I1130">
        <v>-181380</v>
      </c>
      <c r="K1130">
        <v>6046</v>
      </c>
      <c r="L1130">
        <v>-181380</v>
      </c>
      <c r="M1130" t="s">
        <v>715</v>
      </c>
      <c r="N1130" t="s">
        <v>714</v>
      </c>
    </row>
    <row r="1131" spans="1:14" x14ac:dyDescent="0.25">
      <c r="A1131" s="18">
        <v>46035</v>
      </c>
      <c r="B1131" t="s">
        <v>289</v>
      </c>
      <c r="C1131" t="s">
        <v>708</v>
      </c>
      <c r="D1131" t="s">
        <v>709</v>
      </c>
      <c r="E1131" t="s">
        <v>710</v>
      </c>
      <c r="F1131" t="s">
        <v>21</v>
      </c>
      <c r="G1131">
        <v>6100</v>
      </c>
      <c r="H1131">
        <v>16.133600000000001</v>
      </c>
      <c r="I1131">
        <v>-98414.96</v>
      </c>
      <c r="K1131">
        <v>16.133600000000001</v>
      </c>
      <c r="L1131">
        <v>-98414.96</v>
      </c>
      <c r="M1131" t="s">
        <v>709</v>
      </c>
      <c r="N1131" t="s">
        <v>708</v>
      </c>
    </row>
    <row r="1132" spans="1:14" x14ac:dyDescent="0.25">
      <c r="A1132" s="18">
        <v>46035</v>
      </c>
      <c r="B1132" t="s">
        <v>319</v>
      </c>
      <c r="C1132" t="s">
        <v>450</v>
      </c>
      <c r="D1132" t="s">
        <v>116</v>
      </c>
      <c r="E1132" t="s">
        <v>451</v>
      </c>
      <c r="F1132" t="s">
        <v>21</v>
      </c>
      <c r="G1132">
        <v>-21090</v>
      </c>
      <c r="H1132">
        <v>7.0330000000000004</v>
      </c>
      <c r="I1132">
        <v>148325.97</v>
      </c>
      <c r="K1132">
        <v>7.0330000000000004</v>
      </c>
      <c r="L1132">
        <v>148325.97</v>
      </c>
      <c r="M1132" t="s">
        <v>116</v>
      </c>
      <c r="N1132" t="s">
        <v>450</v>
      </c>
    </row>
    <row r="1133" spans="1:14" x14ac:dyDescent="0.25">
      <c r="A1133" s="18">
        <v>46035</v>
      </c>
      <c r="B1133" t="s">
        <v>289</v>
      </c>
      <c r="C1133" t="s">
        <v>691</v>
      </c>
      <c r="D1133" t="s">
        <v>692</v>
      </c>
      <c r="E1133" t="s">
        <v>693</v>
      </c>
      <c r="F1133" t="s">
        <v>49</v>
      </c>
      <c r="G1133">
        <v>2022</v>
      </c>
      <c r="H1133">
        <v>55.961300000000001</v>
      </c>
      <c r="I1133">
        <v>-113153.74860000001</v>
      </c>
      <c r="K1133">
        <v>55.961300000000001</v>
      </c>
      <c r="L1133">
        <v>-113153.74860000001</v>
      </c>
      <c r="M1133" t="s">
        <v>692</v>
      </c>
      <c r="N1133" t="s">
        <v>691</v>
      </c>
    </row>
    <row r="1134" spans="1:14" x14ac:dyDescent="0.25">
      <c r="A1134" s="18">
        <v>46035</v>
      </c>
      <c r="B1134" t="s">
        <v>289</v>
      </c>
      <c r="C1134" t="s">
        <v>739</v>
      </c>
      <c r="D1134" t="s">
        <v>740</v>
      </c>
      <c r="E1134" t="s">
        <v>741</v>
      </c>
      <c r="F1134" t="s">
        <v>49</v>
      </c>
      <c r="G1134">
        <v>528</v>
      </c>
      <c r="H1134">
        <v>333.82310000000001</v>
      </c>
      <c r="I1134">
        <v>-176258.5968</v>
      </c>
      <c r="K1134">
        <v>333.82310000000001</v>
      </c>
      <c r="L1134">
        <v>-176258.5968</v>
      </c>
      <c r="M1134" t="s">
        <v>740</v>
      </c>
      <c r="N1134" t="s">
        <v>739</v>
      </c>
    </row>
    <row r="1135" spans="1:14" x14ac:dyDescent="0.25">
      <c r="A1135" s="18">
        <v>46036</v>
      </c>
      <c r="B1135" t="s">
        <v>289</v>
      </c>
      <c r="C1135" t="s">
        <v>726</v>
      </c>
      <c r="D1135" t="s">
        <v>727</v>
      </c>
      <c r="E1135" t="s">
        <v>728</v>
      </c>
      <c r="F1135" t="s">
        <v>21</v>
      </c>
      <c r="G1135">
        <v>23</v>
      </c>
      <c r="H1135">
        <v>8389</v>
      </c>
      <c r="I1135">
        <v>-1929470</v>
      </c>
      <c r="K1135">
        <v>8389</v>
      </c>
      <c r="L1135">
        <v>-1929470</v>
      </c>
      <c r="M1135" t="s">
        <v>727</v>
      </c>
      <c r="N1135" t="s">
        <v>726</v>
      </c>
    </row>
    <row r="1136" spans="1:14" x14ac:dyDescent="0.25">
      <c r="A1136" s="18">
        <v>46036</v>
      </c>
      <c r="B1136" t="s">
        <v>319</v>
      </c>
      <c r="C1136" t="s">
        <v>747</v>
      </c>
      <c r="D1136" t="s">
        <v>748</v>
      </c>
      <c r="E1136" t="s">
        <v>749</v>
      </c>
      <c r="F1136" t="s">
        <v>21</v>
      </c>
      <c r="G1136">
        <v>-23</v>
      </c>
      <c r="H1136">
        <v>8407</v>
      </c>
      <c r="I1136">
        <v>1933610</v>
      </c>
      <c r="K1136">
        <v>8407</v>
      </c>
      <c r="L1136">
        <v>1933610</v>
      </c>
      <c r="M1136" t="s">
        <v>748</v>
      </c>
      <c r="N1136" t="s">
        <v>747</v>
      </c>
    </row>
    <row r="1137" spans="1:14" x14ac:dyDescent="0.25">
      <c r="A1137" s="18">
        <v>46036</v>
      </c>
      <c r="B1137" t="s">
        <v>319</v>
      </c>
      <c r="C1137" t="s">
        <v>676</v>
      </c>
      <c r="D1137" t="s">
        <v>677</v>
      </c>
      <c r="E1137" t="s">
        <v>678</v>
      </c>
      <c r="F1137" t="s">
        <v>21</v>
      </c>
      <c r="G1137">
        <v>-11</v>
      </c>
      <c r="H1137">
        <v>128.21</v>
      </c>
      <c r="I1137">
        <v>1410310.0000000002</v>
      </c>
      <c r="K1137">
        <v>128.21</v>
      </c>
      <c r="L1137">
        <v>1410310.0000000002</v>
      </c>
      <c r="M1137" t="s">
        <v>677</v>
      </c>
      <c r="N1137" t="s">
        <v>676</v>
      </c>
    </row>
    <row r="1138" spans="1:14" x14ac:dyDescent="0.25">
      <c r="A1138" s="18">
        <v>46036</v>
      </c>
      <c r="B1138" t="s">
        <v>289</v>
      </c>
      <c r="C1138" t="s">
        <v>661</v>
      </c>
      <c r="D1138" t="s">
        <v>662</v>
      </c>
      <c r="E1138" t="s">
        <v>663</v>
      </c>
      <c r="F1138" t="s">
        <v>36</v>
      </c>
      <c r="G1138">
        <v>13</v>
      </c>
      <c r="H1138">
        <v>92.46</v>
      </c>
      <c r="I1138">
        <v>-1201980</v>
      </c>
      <c r="K1138">
        <v>92.46</v>
      </c>
      <c r="L1138">
        <v>-1201980</v>
      </c>
      <c r="M1138" t="s">
        <v>662</v>
      </c>
      <c r="N1138" t="s">
        <v>661</v>
      </c>
    </row>
    <row r="1139" spans="1:14" x14ac:dyDescent="0.25">
      <c r="A1139" s="18">
        <v>46037</v>
      </c>
      <c r="B1139" t="s">
        <v>319</v>
      </c>
      <c r="C1139" t="s">
        <v>493</v>
      </c>
      <c r="D1139" t="s">
        <v>28</v>
      </c>
      <c r="E1139" t="s">
        <v>29</v>
      </c>
      <c r="F1139" t="s">
        <v>21</v>
      </c>
      <c r="G1139">
        <v>-420</v>
      </c>
      <c r="H1139">
        <v>235.48269999999999</v>
      </c>
      <c r="I1139">
        <v>98902.733999999997</v>
      </c>
      <c r="K1139">
        <v>235.48269999999999</v>
      </c>
      <c r="L1139">
        <v>98902.733999999997</v>
      </c>
      <c r="M1139" t="s">
        <v>28</v>
      </c>
      <c r="N1139" t="s">
        <v>493</v>
      </c>
    </row>
    <row r="1140" spans="1:14" x14ac:dyDescent="0.25">
      <c r="A1140" s="18">
        <v>46037</v>
      </c>
      <c r="B1140" t="s">
        <v>289</v>
      </c>
      <c r="C1140" t="s">
        <v>746</v>
      </c>
      <c r="D1140" t="s">
        <v>52</v>
      </c>
      <c r="E1140" t="s">
        <v>53</v>
      </c>
      <c r="F1140" t="s">
        <v>21</v>
      </c>
      <c r="G1140">
        <v>1700</v>
      </c>
      <c r="H1140">
        <v>57.96</v>
      </c>
      <c r="I1140">
        <v>-98532</v>
      </c>
      <c r="K1140">
        <v>57.96</v>
      </c>
      <c r="L1140">
        <v>-98532</v>
      </c>
      <c r="M1140" t="s">
        <v>52</v>
      </c>
      <c r="N1140" t="s">
        <v>746</v>
      </c>
    </row>
    <row r="1141" spans="1:14" x14ac:dyDescent="0.25">
      <c r="A1141" s="18">
        <v>46037</v>
      </c>
      <c r="B1141" t="s">
        <v>289</v>
      </c>
      <c r="C1141" t="s">
        <v>311</v>
      </c>
      <c r="D1141" t="s">
        <v>312</v>
      </c>
      <c r="E1141" t="s">
        <v>313</v>
      </c>
      <c r="F1141" t="s">
        <v>21</v>
      </c>
      <c r="G1141">
        <v>230</v>
      </c>
      <c r="H1141">
        <v>319</v>
      </c>
      <c r="I1141">
        <v>-73370</v>
      </c>
      <c r="K1141">
        <v>319</v>
      </c>
      <c r="L1141">
        <v>-73370</v>
      </c>
      <c r="M1141" t="s">
        <v>312</v>
      </c>
      <c r="N1141" t="s">
        <v>311</v>
      </c>
    </row>
    <row r="1142" spans="1:14" x14ac:dyDescent="0.25">
      <c r="A1142" s="18">
        <v>46037</v>
      </c>
      <c r="B1142" t="s">
        <v>289</v>
      </c>
      <c r="C1142" t="s">
        <v>702</v>
      </c>
      <c r="D1142" t="s">
        <v>703</v>
      </c>
      <c r="E1142" t="s">
        <v>704</v>
      </c>
      <c r="F1142" t="s">
        <v>21</v>
      </c>
      <c r="G1142">
        <v>340</v>
      </c>
      <c r="H1142">
        <v>216.25</v>
      </c>
      <c r="I1142">
        <v>-73525</v>
      </c>
      <c r="K1142">
        <v>216.25</v>
      </c>
      <c r="L1142">
        <v>-73525</v>
      </c>
      <c r="M1142" t="s">
        <v>703</v>
      </c>
      <c r="N1142" t="s">
        <v>702</v>
      </c>
    </row>
    <row r="1143" spans="1:14" x14ac:dyDescent="0.25">
      <c r="A1143" s="18">
        <v>46037</v>
      </c>
      <c r="B1143" t="s">
        <v>319</v>
      </c>
      <c r="C1143" t="s">
        <v>625</v>
      </c>
      <c r="D1143" t="s">
        <v>626</v>
      </c>
      <c r="E1143" t="s">
        <v>627</v>
      </c>
      <c r="F1143" t="s">
        <v>21</v>
      </c>
      <c r="G1143">
        <v>-700</v>
      </c>
      <c r="H1143">
        <v>124</v>
      </c>
      <c r="I1143">
        <v>86800</v>
      </c>
      <c r="K1143">
        <v>124</v>
      </c>
      <c r="L1143">
        <v>86800</v>
      </c>
      <c r="M1143" t="s">
        <v>626</v>
      </c>
      <c r="N1143" t="s">
        <v>625</v>
      </c>
    </row>
    <row r="1144" spans="1:14" x14ac:dyDescent="0.25">
      <c r="A1144" s="18">
        <v>46037</v>
      </c>
      <c r="B1144" t="s">
        <v>319</v>
      </c>
      <c r="C1144" t="s">
        <v>325</v>
      </c>
      <c r="D1144" t="s">
        <v>47</v>
      </c>
      <c r="E1144" t="s">
        <v>48</v>
      </c>
      <c r="F1144" t="s">
        <v>36</v>
      </c>
      <c r="G1144">
        <v>-1384</v>
      </c>
      <c r="H1144">
        <v>93.3673</v>
      </c>
      <c r="I1144">
        <v>129220.3432</v>
      </c>
      <c r="K1144">
        <v>93.3673</v>
      </c>
      <c r="L1144">
        <v>129220.3432</v>
      </c>
      <c r="M1144" t="s">
        <v>47</v>
      </c>
      <c r="N1144" t="s">
        <v>325</v>
      </c>
    </row>
    <row r="1145" spans="1:14" x14ac:dyDescent="0.25">
      <c r="A1145" s="18">
        <v>46037</v>
      </c>
      <c r="B1145" t="s">
        <v>289</v>
      </c>
      <c r="C1145" t="s">
        <v>608</v>
      </c>
      <c r="D1145" t="s">
        <v>26</v>
      </c>
      <c r="E1145" t="s">
        <v>27</v>
      </c>
      <c r="F1145" t="s">
        <v>21</v>
      </c>
      <c r="G1145">
        <v>322</v>
      </c>
      <c r="H1145">
        <v>299.2167</v>
      </c>
      <c r="I1145">
        <v>-96347.777400000006</v>
      </c>
      <c r="K1145">
        <v>299.2167</v>
      </c>
      <c r="L1145">
        <v>-96347.777400000006</v>
      </c>
      <c r="M1145" t="s">
        <v>26</v>
      </c>
      <c r="N1145" t="s">
        <v>608</v>
      </c>
    </row>
    <row r="1146" spans="1:14" x14ac:dyDescent="0.25">
      <c r="A1146" s="18">
        <v>46037</v>
      </c>
      <c r="B1146" t="s">
        <v>319</v>
      </c>
      <c r="C1146" t="s">
        <v>320</v>
      </c>
      <c r="D1146" t="s">
        <v>321</v>
      </c>
      <c r="E1146" t="s">
        <v>322</v>
      </c>
      <c r="F1146" t="s">
        <v>36</v>
      </c>
      <c r="G1146">
        <v>-13050</v>
      </c>
      <c r="H1146">
        <v>15.7</v>
      </c>
      <c r="I1146">
        <v>204885</v>
      </c>
      <c r="K1146">
        <v>15.7</v>
      </c>
      <c r="L1146">
        <v>204885</v>
      </c>
      <c r="M1146" t="s">
        <v>321</v>
      </c>
      <c r="N1146" t="s">
        <v>320</v>
      </c>
    </row>
    <row r="1147" spans="1:14" x14ac:dyDescent="0.25">
      <c r="A1147" s="18">
        <v>46037</v>
      </c>
      <c r="B1147" t="s">
        <v>289</v>
      </c>
      <c r="C1147" t="s">
        <v>582</v>
      </c>
      <c r="D1147" t="s">
        <v>83</v>
      </c>
      <c r="E1147" t="s">
        <v>583</v>
      </c>
      <c r="F1147" t="s">
        <v>82</v>
      </c>
      <c r="G1147">
        <v>267</v>
      </c>
      <c r="H1147">
        <v>174.65</v>
      </c>
      <c r="I1147">
        <v>-46631.55</v>
      </c>
      <c r="K1147">
        <v>174.65</v>
      </c>
      <c r="L1147">
        <v>-46631.55</v>
      </c>
      <c r="M1147" t="s">
        <v>83</v>
      </c>
      <c r="N1147" t="s">
        <v>582</v>
      </c>
    </row>
    <row r="1148" spans="1:14" x14ac:dyDescent="0.25">
      <c r="A1148" s="18">
        <v>46037</v>
      </c>
      <c r="B1148" t="s">
        <v>289</v>
      </c>
      <c r="C1148" t="s">
        <v>750</v>
      </c>
      <c r="D1148" t="s">
        <v>751</v>
      </c>
      <c r="E1148" t="s">
        <v>752</v>
      </c>
      <c r="F1148" t="s">
        <v>82</v>
      </c>
      <c r="G1148">
        <v>77</v>
      </c>
      <c r="H1148">
        <v>606.79999999999995</v>
      </c>
      <c r="I1148">
        <v>-46723.6</v>
      </c>
      <c r="K1148">
        <v>606.79999999999995</v>
      </c>
      <c r="L1148">
        <v>-46723.6</v>
      </c>
      <c r="M1148" t="s">
        <v>751</v>
      </c>
      <c r="N1148" t="s">
        <v>750</v>
      </c>
    </row>
    <row r="1149" spans="1:14" x14ac:dyDescent="0.25">
      <c r="A1149" s="18">
        <v>46037</v>
      </c>
      <c r="B1149" t="s">
        <v>319</v>
      </c>
      <c r="C1149" t="s">
        <v>732</v>
      </c>
      <c r="D1149" t="s">
        <v>64</v>
      </c>
      <c r="E1149" t="s">
        <v>65</v>
      </c>
      <c r="F1149" t="s">
        <v>49</v>
      </c>
      <c r="G1149">
        <v>-217</v>
      </c>
      <c r="H1149">
        <v>1042.7601999999999</v>
      </c>
      <c r="I1149">
        <v>226278.96339999998</v>
      </c>
      <c r="K1149">
        <v>1042.7601999999999</v>
      </c>
      <c r="L1149">
        <v>226278.96339999998</v>
      </c>
      <c r="M1149" t="s">
        <v>64</v>
      </c>
      <c r="N1149" t="s">
        <v>732</v>
      </c>
    </row>
    <row r="1150" spans="1:14" x14ac:dyDescent="0.25">
      <c r="A1150" s="18">
        <v>46037</v>
      </c>
      <c r="B1150" t="s">
        <v>289</v>
      </c>
      <c r="C1150" t="s">
        <v>582</v>
      </c>
      <c r="D1150" t="s">
        <v>83</v>
      </c>
      <c r="E1150" t="s">
        <v>583</v>
      </c>
      <c r="F1150" t="s">
        <v>82</v>
      </c>
      <c r="G1150">
        <v>267</v>
      </c>
      <c r="H1150">
        <v>171.15</v>
      </c>
      <c r="I1150">
        <v>-45697.05</v>
      </c>
      <c r="K1150">
        <v>171.15</v>
      </c>
      <c r="L1150">
        <v>-45697.05</v>
      </c>
      <c r="M1150" t="s">
        <v>83</v>
      </c>
      <c r="N1150" t="s">
        <v>582</v>
      </c>
    </row>
    <row r="1151" spans="1:14" x14ac:dyDescent="0.25">
      <c r="A1151" s="18">
        <v>46038</v>
      </c>
      <c r="B1151" t="s">
        <v>319</v>
      </c>
      <c r="C1151" t="s">
        <v>582</v>
      </c>
      <c r="D1151" t="s">
        <v>83</v>
      </c>
      <c r="E1151" t="s">
        <v>583</v>
      </c>
      <c r="F1151" t="s">
        <v>82</v>
      </c>
      <c r="G1151">
        <v>-1370</v>
      </c>
      <c r="H1151">
        <v>163.4607</v>
      </c>
      <c r="I1151">
        <v>223941.15900000001</v>
      </c>
      <c r="K1151">
        <v>163.4607</v>
      </c>
      <c r="L1151">
        <v>223941.15900000001</v>
      </c>
      <c r="M1151" t="s">
        <v>83</v>
      </c>
      <c r="N1151" t="s">
        <v>582</v>
      </c>
    </row>
    <row r="1152" spans="1:14" x14ac:dyDescent="0.25">
      <c r="A1152" s="18">
        <v>46038</v>
      </c>
      <c r="B1152" t="s">
        <v>289</v>
      </c>
      <c r="C1152" t="s">
        <v>619</v>
      </c>
      <c r="D1152" t="s">
        <v>620</v>
      </c>
      <c r="E1152" t="s">
        <v>621</v>
      </c>
      <c r="F1152" t="s">
        <v>21</v>
      </c>
      <c r="G1152">
        <v>890</v>
      </c>
      <c r="H1152">
        <v>272.29849999999999</v>
      </c>
      <c r="I1152">
        <v>-242345.66499999998</v>
      </c>
      <c r="K1152">
        <v>272.29849999999999</v>
      </c>
      <c r="L1152">
        <v>-242345.66499999998</v>
      </c>
      <c r="M1152" t="s">
        <v>620</v>
      </c>
      <c r="N1152" t="s">
        <v>619</v>
      </c>
    </row>
    <row r="1153" spans="1:14" x14ac:dyDescent="0.25">
      <c r="A1153" s="18">
        <v>46038</v>
      </c>
      <c r="B1153" t="s">
        <v>319</v>
      </c>
      <c r="C1153" t="s">
        <v>582</v>
      </c>
      <c r="D1153" t="s">
        <v>83</v>
      </c>
      <c r="E1153" t="s">
        <v>583</v>
      </c>
      <c r="F1153" t="s">
        <v>82</v>
      </c>
      <c r="G1153">
        <v>-547</v>
      </c>
      <c r="H1153">
        <v>163.63409999999999</v>
      </c>
      <c r="I1153">
        <v>89507.852699999989</v>
      </c>
      <c r="K1153">
        <v>163.63409999999999</v>
      </c>
      <c r="L1153">
        <v>89507.852699999989</v>
      </c>
      <c r="M1153" t="s">
        <v>83</v>
      </c>
      <c r="N1153" t="s">
        <v>582</v>
      </c>
    </row>
    <row r="1154" spans="1:14" x14ac:dyDescent="0.25">
      <c r="A1154" s="18">
        <v>46038</v>
      </c>
      <c r="B1154" t="s">
        <v>289</v>
      </c>
      <c r="C1154" t="s">
        <v>320</v>
      </c>
      <c r="D1154" t="s">
        <v>321</v>
      </c>
      <c r="E1154" t="s">
        <v>322</v>
      </c>
      <c r="F1154" t="s">
        <v>36</v>
      </c>
      <c r="G1154">
        <v>5544</v>
      </c>
      <c r="H1154">
        <v>15.4</v>
      </c>
      <c r="I1154">
        <v>-85377.600000000006</v>
      </c>
      <c r="K1154">
        <v>15.4</v>
      </c>
      <c r="L1154">
        <v>-85377.600000000006</v>
      </c>
      <c r="M1154" t="s">
        <v>321</v>
      </c>
      <c r="N1154" t="s">
        <v>320</v>
      </c>
    </row>
    <row r="1155" spans="1:14" x14ac:dyDescent="0.25">
      <c r="A1155" s="18">
        <v>46038</v>
      </c>
      <c r="B1155" t="s">
        <v>319</v>
      </c>
      <c r="C1155" t="s">
        <v>484</v>
      </c>
      <c r="D1155" t="s">
        <v>30</v>
      </c>
      <c r="E1155" t="s">
        <v>31</v>
      </c>
      <c r="F1155" t="s">
        <v>21</v>
      </c>
      <c r="G1155">
        <v>-562</v>
      </c>
      <c r="H1155">
        <v>176.00460000000001</v>
      </c>
      <c r="I1155">
        <v>98914.585200000001</v>
      </c>
      <c r="K1155">
        <v>176.00460000000001</v>
      </c>
      <c r="L1155">
        <v>98914.585200000001</v>
      </c>
      <c r="M1155" t="s">
        <v>30</v>
      </c>
      <c r="N1155" t="s">
        <v>484</v>
      </c>
    </row>
    <row r="1156" spans="1:14" x14ac:dyDescent="0.25">
      <c r="A1156" s="18">
        <v>46038</v>
      </c>
      <c r="B1156" t="s">
        <v>319</v>
      </c>
      <c r="C1156" t="s">
        <v>664</v>
      </c>
      <c r="D1156" t="s">
        <v>665</v>
      </c>
      <c r="E1156" t="s">
        <v>666</v>
      </c>
      <c r="F1156" t="s">
        <v>49</v>
      </c>
      <c r="G1156">
        <v>-10</v>
      </c>
      <c r="H1156">
        <v>111.8125</v>
      </c>
      <c r="I1156">
        <v>1118125</v>
      </c>
      <c r="K1156">
        <v>111.8125</v>
      </c>
      <c r="L1156">
        <v>1118125</v>
      </c>
      <c r="M1156" t="s">
        <v>665</v>
      </c>
      <c r="N1156" t="s">
        <v>664</v>
      </c>
    </row>
    <row r="1157" spans="1:14" x14ac:dyDescent="0.25">
      <c r="A1157" s="18">
        <v>46038</v>
      </c>
      <c r="B1157" t="s">
        <v>289</v>
      </c>
      <c r="C1157" t="s">
        <v>700</v>
      </c>
      <c r="D1157" t="s">
        <v>68</v>
      </c>
      <c r="E1157" t="s">
        <v>701</v>
      </c>
      <c r="F1157" t="s">
        <v>49</v>
      </c>
      <c r="G1157">
        <v>510</v>
      </c>
      <c r="H1157">
        <v>112.87</v>
      </c>
      <c r="I1157">
        <v>-57563.700000000004</v>
      </c>
      <c r="K1157">
        <v>112.87</v>
      </c>
      <c r="L1157">
        <v>-57563.700000000004</v>
      </c>
      <c r="M1157" t="s">
        <v>68</v>
      </c>
      <c r="N1157" t="s">
        <v>700</v>
      </c>
    </row>
    <row r="1158" spans="1:14" x14ac:dyDescent="0.25">
      <c r="A1158" s="18">
        <v>46038</v>
      </c>
      <c r="B1158" t="s">
        <v>289</v>
      </c>
      <c r="C1158" t="s">
        <v>753</v>
      </c>
      <c r="D1158" t="s">
        <v>754</v>
      </c>
      <c r="E1158" t="s">
        <v>276</v>
      </c>
      <c r="F1158" t="s">
        <v>21</v>
      </c>
      <c r="G1158">
        <v>1400</v>
      </c>
      <c r="H1158">
        <v>71.875</v>
      </c>
      <c r="I1158">
        <v>-100625</v>
      </c>
      <c r="K1158">
        <v>71.875</v>
      </c>
      <c r="L1158">
        <v>-100625</v>
      </c>
      <c r="M1158" t="s">
        <v>754</v>
      </c>
      <c r="N1158" t="s">
        <v>753</v>
      </c>
    </row>
    <row r="1159" spans="1:14" x14ac:dyDescent="0.25">
      <c r="A1159" s="18">
        <v>46038</v>
      </c>
      <c r="B1159" t="s">
        <v>289</v>
      </c>
      <c r="C1159" t="s">
        <v>318</v>
      </c>
      <c r="D1159" t="s">
        <v>22</v>
      </c>
      <c r="E1159" t="s">
        <v>23</v>
      </c>
      <c r="F1159" t="s">
        <v>21</v>
      </c>
      <c r="G1159">
        <v>3900</v>
      </c>
      <c r="H1159">
        <v>25.2485</v>
      </c>
      <c r="I1159">
        <v>-98469.15</v>
      </c>
      <c r="K1159">
        <v>25.2485</v>
      </c>
      <c r="L1159">
        <v>-98469.15</v>
      </c>
      <c r="M1159" t="s">
        <v>22</v>
      </c>
      <c r="N1159" t="s">
        <v>318</v>
      </c>
    </row>
    <row r="1160" spans="1:14" x14ac:dyDescent="0.25">
      <c r="A1160" s="18">
        <v>46038</v>
      </c>
      <c r="B1160" t="s">
        <v>319</v>
      </c>
      <c r="C1160" t="s">
        <v>608</v>
      </c>
      <c r="D1160" t="s">
        <v>26</v>
      </c>
      <c r="E1160" t="s">
        <v>27</v>
      </c>
      <c r="F1160" t="s">
        <v>21</v>
      </c>
      <c r="G1160">
        <v>-498</v>
      </c>
      <c r="H1160">
        <v>288.39999999999998</v>
      </c>
      <c r="I1160">
        <v>143623.19999999998</v>
      </c>
      <c r="K1160">
        <v>288.39999999999998</v>
      </c>
      <c r="L1160">
        <v>143623.19999999998</v>
      </c>
      <c r="M1160" t="s">
        <v>26</v>
      </c>
      <c r="N1160" t="s">
        <v>608</v>
      </c>
    </row>
    <row r="1161" spans="1:14" x14ac:dyDescent="0.25">
      <c r="A1161" s="18">
        <v>46038</v>
      </c>
      <c r="B1161" t="s">
        <v>289</v>
      </c>
      <c r="C1161" t="s">
        <v>301</v>
      </c>
      <c r="D1161" t="s">
        <v>120</v>
      </c>
      <c r="E1161" t="s">
        <v>363</v>
      </c>
      <c r="F1161" t="s">
        <v>21</v>
      </c>
      <c r="G1161">
        <v>207</v>
      </c>
      <c r="H1161">
        <v>361.88549999999998</v>
      </c>
      <c r="I1161">
        <v>-74910.29849999999</v>
      </c>
      <c r="K1161">
        <v>361.88549999999998</v>
      </c>
      <c r="L1161">
        <v>-74910.29849999999</v>
      </c>
      <c r="M1161" t="s">
        <v>120</v>
      </c>
      <c r="N1161" t="s">
        <v>301</v>
      </c>
    </row>
    <row r="1162" spans="1:14" x14ac:dyDescent="0.25">
      <c r="A1162" s="18">
        <v>46038</v>
      </c>
      <c r="B1162" t="s">
        <v>289</v>
      </c>
      <c r="C1162" t="s">
        <v>551</v>
      </c>
      <c r="D1162" t="s">
        <v>552</v>
      </c>
      <c r="E1162" t="s">
        <v>553</v>
      </c>
      <c r="F1162" t="s">
        <v>21</v>
      </c>
      <c r="G1162">
        <v>1622</v>
      </c>
      <c r="H1162">
        <v>44.759399999999999</v>
      </c>
      <c r="I1162">
        <v>-72599.746799999994</v>
      </c>
      <c r="K1162">
        <v>44.759399999999999</v>
      </c>
      <c r="L1162">
        <v>-72599.746799999994</v>
      </c>
      <c r="M1162" t="s">
        <v>552</v>
      </c>
      <c r="N1162" t="s">
        <v>551</v>
      </c>
    </row>
    <row r="1163" spans="1:14" x14ac:dyDescent="0.25">
      <c r="A1163" s="18">
        <v>46038</v>
      </c>
      <c r="B1163" t="s">
        <v>319</v>
      </c>
      <c r="C1163" t="s">
        <v>331</v>
      </c>
      <c r="D1163" t="s">
        <v>332</v>
      </c>
      <c r="E1163" t="s">
        <v>333</v>
      </c>
      <c r="F1163" t="s">
        <v>21</v>
      </c>
      <c r="G1163">
        <v>-106</v>
      </c>
      <c r="H1163">
        <v>1390.8</v>
      </c>
      <c r="I1163">
        <v>147424.79999999999</v>
      </c>
      <c r="K1163">
        <v>1390.8</v>
      </c>
      <c r="L1163">
        <v>147424.79999999999</v>
      </c>
      <c r="M1163" t="s">
        <v>332</v>
      </c>
      <c r="N1163" t="s">
        <v>331</v>
      </c>
    </row>
    <row r="1164" spans="1:14" x14ac:dyDescent="0.25">
      <c r="A1164" s="18">
        <v>46038</v>
      </c>
      <c r="B1164" t="s">
        <v>319</v>
      </c>
      <c r="C1164" t="s">
        <v>714</v>
      </c>
      <c r="D1164" t="s">
        <v>715</v>
      </c>
      <c r="E1164" t="s">
        <v>716</v>
      </c>
      <c r="F1164" t="s">
        <v>21</v>
      </c>
      <c r="G1164">
        <v>-10</v>
      </c>
      <c r="H1164">
        <v>6039</v>
      </c>
      <c r="I1164">
        <v>603900</v>
      </c>
      <c r="K1164">
        <v>6039</v>
      </c>
      <c r="L1164">
        <v>603900</v>
      </c>
      <c r="M1164" t="s">
        <v>715</v>
      </c>
      <c r="N1164" t="s">
        <v>714</v>
      </c>
    </row>
    <row r="1165" spans="1:14" x14ac:dyDescent="0.25">
      <c r="A1165" s="18">
        <v>46041</v>
      </c>
      <c r="B1165" t="s">
        <v>319</v>
      </c>
      <c r="C1165" t="s">
        <v>331</v>
      </c>
      <c r="D1165" t="s">
        <v>332</v>
      </c>
      <c r="E1165" t="s">
        <v>333</v>
      </c>
      <c r="F1165" t="s">
        <v>21</v>
      </c>
      <c r="G1165">
        <v>-72</v>
      </c>
      <c r="H1165">
        <v>1379</v>
      </c>
      <c r="I1165">
        <v>99288</v>
      </c>
      <c r="K1165">
        <v>1379</v>
      </c>
      <c r="L1165">
        <v>99288</v>
      </c>
      <c r="M1165" t="s">
        <v>332</v>
      </c>
      <c r="N1165" t="s">
        <v>331</v>
      </c>
    </row>
    <row r="1166" spans="1:14" x14ac:dyDescent="0.25">
      <c r="A1166" s="18">
        <v>46041</v>
      </c>
      <c r="B1166" t="s">
        <v>319</v>
      </c>
      <c r="C1166" t="s">
        <v>619</v>
      </c>
      <c r="D1166" t="s">
        <v>620</v>
      </c>
      <c r="E1166" t="s">
        <v>621</v>
      </c>
      <c r="F1166" t="s">
        <v>21</v>
      </c>
      <c r="G1166">
        <v>-370</v>
      </c>
      <c r="H1166">
        <v>267.75</v>
      </c>
      <c r="I1166">
        <v>99067.5</v>
      </c>
      <c r="K1166">
        <v>267.75</v>
      </c>
      <c r="L1166">
        <v>99067.5</v>
      </c>
      <c r="M1166" t="s">
        <v>620</v>
      </c>
      <c r="N1166" t="s">
        <v>619</v>
      </c>
    </row>
    <row r="1167" spans="1:14" x14ac:dyDescent="0.25">
      <c r="A1167" s="18">
        <v>46041</v>
      </c>
      <c r="B1167" t="s">
        <v>319</v>
      </c>
      <c r="C1167" t="s">
        <v>342</v>
      </c>
      <c r="D1167" t="s">
        <v>343</v>
      </c>
      <c r="E1167" t="s">
        <v>282</v>
      </c>
      <c r="F1167" t="s">
        <v>21</v>
      </c>
      <c r="G1167">
        <v>-1200</v>
      </c>
      <c r="H1167">
        <v>82.4</v>
      </c>
      <c r="I1167">
        <v>98880</v>
      </c>
      <c r="K1167">
        <v>82.4</v>
      </c>
      <c r="L1167">
        <v>98880</v>
      </c>
      <c r="M1167" t="s">
        <v>343</v>
      </c>
      <c r="N1167" t="s">
        <v>342</v>
      </c>
    </row>
    <row r="1168" spans="1:14" x14ac:dyDescent="0.25">
      <c r="A1168" s="18">
        <v>46041</v>
      </c>
      <c r="B1168" t="s">
        <v>289</v>
      </c>
      <c r="C1168" t="s">
        <v>361</v>
      </c>
      <c r="D1168" t="s">
        <v>93</v>
      </c>
      <c r="E1168" t="s">
        <v>94</v>
      </c>
      <c r="F1168" t="s">
        <v>21</v>
      </c>
      <c r="G1168">
        <v>734</v>
      </c>
      <c r="H1168">
        <v>133.77500000000001</v>
      </c>
      <c r="I1168">
        <v>-98190.85</v>
      </c>
      <c r="K1168">
        <v>133.77500000000001</v>
      </c>
      <c r="L1168">
        <v>-98190.85</v>
      </c>
      <c r="M1168" t="s">
        <v>93</v>
      </c>
      <c r="N1168" t="s">
        <v>361</v>
      </c>
    </row>
    <row r="1169" spans="1:14" x14ac:dyDescent="0.25">
      <c r="A1169" s="18">
        <v>46041</v>
      </c>
      <c r="B1169" t="s">
        <v>319</v>
      </c>
      <c r="C1169" t="s">
        <v>318</v>
      </c>
      <c r="D1169" t="s">
        <v>22</v>
      </c>
      <c r="E1169" t="s">
        <v>23</v>
      </c>
      <c r="F1169" t="s">
        <v>21</v>
      </c>
      <c r="G1169">
        <v>-4000</v>
      </c>
      <c r="H1169">
        <v>25.241599999999998</v>
      </c>
      <c r="I1169">
        <v>100966.39999999999</v>
      </c>
      <c r="K1169">
        <v>25.241599999999998</v>
      </c>
      <c r="L1169">
        <v>100966.39999999999</v>
      </c>
      <c r="M1169" t="s">
        <v>22</v>
      </c>
      <c r="N1169" t="s">
        <v>318</v>
      </c>
    </row>
    <row r="1170" spans="1:14" x14ac:dyDescent="0.25">
      <c r="A1170" s="18">
        <v>46041</v>
      </c>
      <c r="B1170" t="s">
        <v>289</v>
      </c>
      <c r="C1170" t="s">
        <v>452</v>
      </c>
      <c r="D1170" t="s">
        <v>453</v>
      </c>
      <c r="E1170" t="s">
        <v>454</v>
      </c>
      <c r="F1170" t="s">
        <v>162</v>
      </c>
      <c r="G1170">
        <v>2800</v>
      </c>
      <c r="H1170">
        <v>186.23490000000001</v>
      </c>
      <c r="I1170">
        <v>-521457.72000000003</v>
      </c>
      <c r="K1170">
        <v>186.23490000000001</v>
      </c>
      <c r="L1170">
        <v>-521457.72000000003</v>
      </c>
      <c r="M1170" t="s">
        <v>453</v>
      </c>
      <c r="N1170" t="s">
        <v>452</v>
      </c>
    </row>
    <row r="1171" spans="1:14" x14ac:dyDescent="0.25">
      <c r="A1171" s="18">
        <v>46041</v>
      </c>
      <c r="B1171" t="s">
        <v>319</v>
      </c>
      <c r="C1171" t="s">
        <v>450</v>
      </c>
      <c r="D1171" t="s">
        <v>116</v>
      </c>
      <c r="E1171" t="s">
        <v>451</v>
      </c>
      <c r="F1171" t="s">
        <v>21</v>
      </c>
      <c r="G1171">
        <v>-14600</v>
      </c>
      <c r="H1171">
        <v>6.9020000000000001</v>
      </c>
      <c r="I1171">
        <v>100769.2</v>
      </c>
      <c r="K1171">
        <v>6.9020000000000001</v>
      </c>
      <c r="L1171">
        <v>100769.2</v>
      </c>
      <c r="M1171" t="s">
        <v>116</v>
      </c>
      <c r="N1171" t="s">
        <v>450</v>
      </c>
    </row>
    <row r="1172" spans="1:14" x14ac:dyDescent="0.25">
      <c r="A1172" s="18">
        <v>46041</v>
      </c>
      <c r="B1172" t="s">
        <v>319</v>
      </c>
      <c r="C1172" t="s">
        <v>670</v>
      </c>
      <c r="D1172" t="s">
        <v>671</v>
      </c>
      <c r="E1172" t="s">
        <v>672</v>
      </c>
      <c r="F1172" t="s">
        <v>21</v>
      </c>
      <c r="G1172">
        <v>-805</v>
      </c>
      <c r="H1172">
        <v>123.55159999999999</v>
      </c>
      <c r="I1172">
        <v>99459.038</v>
      </c>
      <c r="K1172">
        <v>123.55160000000001</v>
      </c>
      <c r="L1172">
        <v>99459.038</v>
      </c>
      <c r="M1172" t="s">
        <v>671</v>
      </c>
      <c r="N1172" t="s">
        <v>670</v>
      </c>
    </row>
    <row r="1173" spans="1:14" x14ac:dyDescent="0.25">
      <c r="A1173" s="18">
        <v>46041</v>
      </c>
      <c r="B1173" t="s">
        <v>319</v>
      </c>
      <c r="C1173" t="s">
        <v>641</v>
      </c>
      <c r="D1173" t="s">
        <v>37</v>
      </c>
      <c r="E1173" t="s">
        <v>38</v>
      </c>
      <c r="F1173" t="s">
        <v>36</v>
      </c>
      <c r="G1173">
        <v>-2802</v>
      </c>
      <c r="H1173">
        <v>30.538900000000002</v>
      </c>
      <c r="I1173">
        <v>85569.997800000012</v>
      </c>
      <c r="K1173">
        <v>30.538900000000005</v>
      </c>
      <c r="L1173">
        <v>85569.997800000012</v>
      </c>
      <c r="M1173" t="s">
        <v>37</v>
      </c>
      <c r="N1173" t="s">
        <v>641</v>
      </c>
    </row>
    <row r="1174" spans="1:14" x14ac:dyDescent="0.25">
      <c r="A1174" s="18">
        <v>46041</v>
      </c>
      <c r="B1174" t="s">
        <v>289</v>
      </c>
      <c r="C1174" t="s">
        <v>714</v>
      </c>
      <c r="D1174" t="s">
        <v>715</v>
      </c>
      <c r="E1174" t="s">
        <v>716</v>
      </c>
      <c r="F1174" t="s">
        <v>21</v>
      </c>
      <c r="G1174">
        <v>4</v>
      </c>
      <c r="H1174">
        <v>5950</v>
      </c>
      <c r="I1174">
        <v>-238000</v>
      </c>
      <c r="K1174">
        <v>5950</v>
      </c>
      <c r="L1174">
        <v>-238000</v>
      </c>
      <c r="M1174" t="s">
        <v>715</v>
      </c>
      <c r="N1174" t="s">
        <v>714</v>
      </c>
    </row>
    <row r="1175" spans="1:14" x14ac:dyDescent="0.25">
      <c r="A1175" s="18">
        <v>46041</v>
      </c>
      <c r="B1175" t="s">
        <v>319</v>
      </c>
      <c r="C1175" t="s">
        <v>290</v>
      </c>
      <c r="D1175" t="s">
        <v>45</v>
      </c>
      <c r="E1175" t="s">
        <v>46</v>
      </c>
      <c r="F1175" t="s">
        <v>21</v>
      </c>
      <c r="G1175">
        <v>-2150</v>
      </c>
      <c r="H1175">
        <v>46.380099999999999</v>
      </c>
      <c r="I1175">
        <v>99717.214999999997</v>
      </c>
      <c r="K1175">
        <v>46.380099999999999</v>
      </c>
      <c r="L1175">
        <v>99717.214999999997</v>
      </c>
      <c r="M1175" t="s">
        <v>45</v>
      </c>
      <c r="N1175" t="s">
        <v>290</v>
      </c>
    </row>
    <row r="1176" spans="1:14" x14ac:dyDescent="0.25">
      <c r="A1176" s="18">
        <v>46041</v>
      </c>
      <c r="B1176" t="s">
        <v>319</v>
      </c>
      <c r="C1176" t="s">
        <v>325</v>
      </c>
      <c r="D1176" t="s">
        <v>47</v>
      </c>
      <c r="E1176" t="s">
        <v>48</v>
      </c>
      <c r="F1176" t="s">
        <v>36</v>
      </c>
      <c r="G1176">
        <v>-949</v>
      </c>
      <c r="H1176">
        <v>90.522599999999997</v>
      </c>
      <c r="I1176">
        <v>85905.94739999999</v>
      </c>
      <c r="K1176">
        <v>90.522599999999983</v>
      </c>
      <c r="L1176">
        <v>85905.94739999999</v>
      </c>
      <c r="M1176" t="s">
        <v>47</v>
      </c>
      <c r="N1176" t="s">
        <v>325</v>
      </c>
    </row>
    <row r="1177" spans="1:14" x14ac:dyDescent="0.25">
      <c r="A1177" s="18">
        <v>46041</v>
      </c>
      <c r="B1177" t="s">
        <v>289</v>
      </c>
      <c r="C1177" t="s">
        <v>714</v>
      </c>
      <c r="D1177" t="s">
        <v>715</v>
      </c>
      <c r="E1177" t="s">
        <v>716</v>
      </c>
      <c r="F1177" t="s">
        <v>21</v>
      </c>
      <c r="G1177">
        <v>2</v>
      </c>
      <c r="H1177">
        <v>5955</v>
      </c>
      <c r="I1177">
        <v>-119100</v>
      </c>
      <c r="K1177">
        <v>5955</v>
      </c>
      <c r="L1177">
        <v>-119100</v>
      </c>
      <c r="M1177" t="s">
        <v>715</v>
      </c>
      <c r="N1177" t="s">
        <v>714</v>
      </c>
    </row>
    <row r="1178" spans="1:14" x14ac:dyDescent="0.25">
      <c r="A1178" s="18">
        <v>46041</v>
      </c>
      <c r="B1178" t="s">
        <v>319</v>
      </c>
      <c r="C1178" t="s">
        <v>702</v>
      </c>
      <c r="D1178" t="s">
        <v>703</v>
      </c>
      <c r="E1178" t="s">
        <v>704</v>
      </c>
      <c r="F1178" t="s">
        <v>21</v>
      </c>
      <c r="G1178">
        <v>-460</v>
      </c>
      <c r="H1178">
        <v>210.15</v>
      </c>
      <c r="I1178">
        <v>96669</v>
      </c>
      <c r="K1178">
        <v>210.15</v>
      </c>
      <c r="L1178">
        <v>96669</v>
      </c>
      <c r="M1178" t="s">
        <v>703</v>
      </c>
      <c r="N1178" t="s">
        <v>702</v>
      </c>
    </row>
    <row r="1179" spans="1:14" x14ac:dyDescent="0.25">
      <c r="A1179" s="18">
        <v>46041</v>
      </c>
      <c r="B1179" t="s">
        <v>289</v>
      </c>
      <c r="C1179" t="s">
        <v>493</v>
      </c>
      <c r="D1179" t="s">
        <v>28</v>
      </c>
      <c r="E1179" t="s">
        <v>29</v>
      </c>
      <c r="F1179" t="s">
        <v>21</v>
      </c>
      <c r="G1179">
        <v>213</v>
      </c>
      <c r="H1179">
        <v>230.1</v>
      </c>
      <c r="I1179">
        <v>-49011.299999999996</v>
      </c>
      <c r="K1179">
        <v>230.09999999999997</v>
      </c>
      <c r="L1179">
        <v>-49011.299999999996</v>
      </c>
      <c r="M1179" t="s">
        <v>28</v>
      </c>
      <c r="N1179" t="s">
        <v>493</v>
      </c>
    </row>
    <row r="1180" spans="1:14" x14ac:dyDescent="0.25">
      <c r="A1180" s="18">
        <v>46042</v>
      </c>
      <c r="B1180" t="s">
        <v>319</v>
      </c>
      <c r="C1180" t="s">
        <v>742</v>
      </c>
      <c r="D1180" t="s">
        <v>50</v>
      </c>
      <c r="E1180" t="s">
        <v>743</v>
      </c>
      <c r="F1180" t="s">
        <v>21</v>
      </c>
      <c r="G1180">
        <v>-14000</v>
      </c>
      <c r="H1180">
        <v>11.879</v>
      </c>
      <c r="I1180">
        <v>166306</v>
      </c>
      <c r="K1180">
        <v>11.879</v>
      </c>
      <c r="L1180">
        <v>166306</v>
      </c>
      <c r="M1180" t="s">
        <v>50</v>
      </c>
      <c r="N1180" t="s">
        <v>742</v>
      </c>
    </row>
    <row r="1181" spans="1:14" x14ac:dyDescent="0.25">
      <c r="A1181" s="18">
        <v>46042</v>
      </c>
      <c r="B1181" t="s">
        <v>319</v>
      </c>
      <c r="C1181" t="s">
        <v>702</v>
      </c>
      <c r="D1181" t="s">
        <v>703</v>
      </c>
      <c r="E1181" t="s">
        <v>704</v>
      </c>
      <c r="F1181" t="s">
        <v>21</v>
      </c>
      <c r="G1181">
        <v>-1023</v>
      </c>
      <c r="H1181">
        <v>206.7722</v>
      </c>
      <c r="I1181">
        <v>211527.96059999999</v>
      </c>
      <c r="K1181">
        <v>206.7722</v>
      </c>
      <c r="L1181">
        <v>211527.96059999999</v>
      </c>
      <c r="M1181" t="s">
        <v>703</v>
      </c>
      <c r="N1181" t="s">
        <v>702</v>
      </c>
    </row>
    <row r="1182" spans="1:14" x14ac:dyDescent="0.25">
      <c r="A1182" s="18">
        <v>46042</v>
      </c>
      <c r="B1182" t="s">
        <v>319</v>
      </c>
      <c r="C1182" t="s">
        <v>551</v>
      </c>
      <c r="D1182" t="s">
        <v>552</v>
      </c>
      <c r="E1182" t="s">
        <v>553</v>
      </c>
      <c r="F1182" t="s">
        <v>21</v>
      </c>
      <c r="G1182">
        <v>-3958</v>
      </c>
      <c r="H1182">
        <v>43.723999999999997</v>
      </c>
      <c r="I1182">
        <v>173059.59199999998</v>
      </c>
      <c r="K1182">
        <v>43.723999999999997</v>
      </c>
      <c r="L1182">
        <v>173059.59199999998</v>
      </c>
      <c r="M1182" t="s">
        <v>552</v>
      </c>
      <c r="N1182" t="s">
        <v>551</v>
      </c>
    </row>
    <row r="1183" spans="1:14" x14ac:dyDescent="0.25">
      <c r="A1183" s="18">
        <v>46042</v>
      </c>
      <c r="B1183" t="s">
        <v>319</v>
      </c>
      <c r="C1183" t="s">
        <v>744</v>
      </c>
      <c r="D1183" t="s">
        <v>56</v>
      </c>
      <c r="E1183" t="s">
        <v>745</v>
      </c>
      <c r="F1183" t="s">
        <v>21</v>
      </c>
      <c r="G1183">
        <v>-5550</v>
      </c>
      <c r="H1183">
        <v>30.287500000000001</v>
      </c>
      <c r="I1183">
        <v>168095.625</v>
      </c>
      <c r="K1183">
        <v>30.287500000000001</v>
      </c>
      <c r="L1183">
        <v>168095.625</v>
      </c>
      <c r="M1183" t="s">
        <v>56</v>
      </c>
      <c r="N1183" t="s">
        <v>744</v>
      </c>
    </row>
    <row r="1184" spans="1:14" x14ac:dyDescent="0.25">
      <c r="A1184" s="18">
        <v>46042</v>
      </c>
      <c r="B1184" t="s">
        <v>319</v>
      </c>
      <c r="C1184" t="s">
        <v>641</v>
      </c>
      <c r="D1184" t="s">
        <v>37</v>
      </c>
      <c r="E1184" t="s">
        <v>38</v>
      </c>
      <c r="F1184" t="s">
        <v>36</v>
      </c>
      <c r="G1184">
        <v>-2962</v>
      </c>
      <c r="H1184">
        <v>29.935500000000001</v>
      </c>
      <c r="I1184">
        <v>88668.951000000001</v>
      </c>
      <c r="K1184">
        <v>29.935500000000001</v>
      </c>
      <c r="L1184">
        <v>88668.951000000001</v>
      </c>
      <c r="M1184" t="s">
        <v>37</v>
      </c>
      <c r="N1184" t="s">
        <v>641</v>
      </c>
    </row>
    <row r="1185" spans="1:14" x14ac:dyDescent="0.25">
      <c r="A1185" s="18">
        <v>46042</v>
      </c>
      <c r="B1185" t="s">
        <v>319</v>
      </c>
      <c r="C1185" t="s">
        <v>325</v>
      </c>
      <c r="D1185" t="s">
        <v>47</v>
      </c>
      <c r="E1185" t="s">
        <v>48</v>
      </c>
      <c r="F1185" t="s">
        <v>36</v>
      </c>
      <c r="G1185">
        <v>-1654</v>
      </c>
      <c r="H1185">
        <v>88.930400000000006</v>
      </c>
      <c r="I1185">
        <v>147090.88160000002</v>
      </c>
      <c r="K1185">
        <v>88.93040000000002</v>
      </c>
      <c r="L1185">
        <v>147090.88160000002</v>
      </c>
      <c r="M1185" t="s">
        <v>47</v>
      </c>
      <c r="N1185" t="s">
        <v>325</v>
      </c>
    </row>
    <row r="1186" spans="1:14" x14ac:dyDescent="0.25">
      <c r="A1186" s="18">
        <v>46042</v>
      </c>
      <c r="B1186" t="s">
        <v>319</v>
      </c>
      <c r="C1186" t="s">
        <v>342</v>
      </c>
      <c r="D1186" t="s">
        <v>343</v>
      </c>
      <c r="E1186" t="s">
        <v>282</v>
      </c>
      <c r="F1186" t="s">
        <v>21</v>
      </c>
      <c r="G1186">
        <v>-1214</v>
      </c>
      <c r="H1186">
        <v>81.260000000000005</v>
      </c>
      <c r="I1186">
        <v>98649.64</v>
      </c>
      <c r="K1186">
        <v>81.260000000000005</v>
      </c>
      <c r="L1186">
        <v>98649.64</v>
      </c>
      <c r="M1186" t="s">
        <v>343</v>
      </c>
      <c r="N1186" t="s">
        <v>342</v>
      </c>
    </row>
    <row r="1187" spans="1:14" x14ac:dyDescent="0.25">
      <c r="A1187" s="18">
        <v>46042</v>
      </c>
      <c r="B1187" t="s">
        <v>289</v>
      </c>
      <c r="C1187" t="s">
        <v>746</v>
      </c>
      <c r="D1187" t="s">
        <v>52</v>
      </c>
      <c r="E1187" t="s">
        <v>53</v>
      </c>
      <c r="F1187" t="s">
        <v>21</v>
      </c>
      <c r="G1187">
        <v>1680</v>
      </c>
      <c r="H1187">
        <v>58.32</v>
      </c>
      <c r="I1187">
        <v>-97977.600000000006</v>
      </c>
      <c r="K1187">
        <v>58.32</v>
      </c>
      <c r="L1187">
        <v>-97977.600000000006</v>
      </c>
      <c r="M1187" t="s">
        <v>52</v>
      </c>
      <c r="N1187" t="s">
        <v>746</v>
      </c>
    </row>
    <row r="1188" spans="1:14" x14ac:dyDescent="0.25">
      <c r="A1188" s="18">
        <v>46042</v>
      </c>
      <c r="B1188" t="s">
        <v>319</v>
      </c>
      <c r="C1188" t="s">
        <v>633</v>
      </c>
      <c r="D1188" t="s">
        <v>634</v>
      </c>
      <c r="E1188" t="s">
        <v>281</v>
      </c>
      <c r="F1188" t="s">
        <v>21</v>
      </c>
      <c r="G1188">
        <v>-2220</v>
      </c>
      <c r="H1188">
        <v>44.73</v>
      </c>
      <c r="I1188">
        <v>99300.599999999991</v>
      </c>
      <c r="K1188">
        <v>44.73</v>
      </c>
      <c r="L1188">
        <v>99300.599999999991</v>
      </c>
      <c r="M1188" t="s">
        <v>634</v>
      </c>
      <c r="N1188" t="s">
        <v>633</v>
      </c>
    </row>
    <row r="1189" spans="1:14" x14ac:dyDescent="0.25">
      <c r="A1189" s="18">
        <v>46042</v>
      </c>
      <c r="B1189" t="s">
        <v>289</v>
      </c>
      <c r="C1189" t="s">
        <v>290</v>
      </c>
      <c r="D1189" t="s">
        <v>45</v>
      </c>
      <c r="E1189" t="s">
        <v>46</v>
      </c>
      <c r="F1189" t="s">
        <v>21</v>
      </c>
      <c r="G1189">
        <v>2170</v>
      </c>
      <c r="H1189">
        <v>45.526200000000003</v>
      </c>
      <c r="I1189">
        <v>-98791.854000000007</v>
      </c>
      <c r="K1189">
        <v>45.526200000000003</v>
      </c>
      <c r="L1189">
        <v>-98791.854000000007</v>
      </c>
      <c r="M1189" t="s">
        <v>45</v>
      </c>
      <c r="N1189" t="s">
        <v>290</v>
      </c>
    </row>
    <row r="1190" spans="1:14" x14ac:dyDescent="0.25">
      <c r="A1190" s="18">
        <v>46042</v>
      </c>
      <c r="B1190" t="s">
        <v>289</v>
      </c>
      <c r="C1190" t="s">
        <v>361</v>
      </c>
      <c r="D1190" t="s">
        <v>93</v>
      </c>
      <c r="E1190" t="s">
        <v>94</v>
      </c>
      <c r="F1190" t="s">
        <v>21</v>
      </c>
      <c r="G1190">
        <v>373</v>
      </c>
      <c r="H1190">
        <v>130.75</v>
      </c>
      <c r="I1190">
        <v>-48769.75</v>
      </c>
      <c r="K1190">
        <v>130.75</v>
      </c>
      <c r="L1190">
        <v>-48769.75</v>
      </c>
      <c r="M1190" t="s">
        <v>93</v>
      </c>
      <c r="N1190" t="s">
        <v>361</v>
      </c>
    </row>
    <row r="1191" spans="1:14" x14ac:dyDescent="0.25">
      <c r="A1191" s="18">
        <v>46042</v>
      </c>
      <c r="B1191" t="s">
        <v>289</v>
      </c>
      <c r="C1191" t="s">
        <v>670</v>
      </c>
      <c r="D1191" t="s">
        <v>671</v>
      </c>
      <c r="E1191" t="s">
        <v>672</v>
      </c>
      <c r="F1191" t="s">
        <v>21</v>
      </c>
      <c r="G1191">
        <v>440</v>
      </c>
      <c r="H1191">
        <v>121.7</v>
      </c>
      <c r="I1191">
        <v>-53548</v>
      </c>
      <c r="K1191">
        <v>121.7</v>
      </c>
      <c r="L1191">
        <v>-53548</v>
      </c>
      <c r="M1191" t="s">
        <v>671</v>
      </c>
      <c r="N1191" t="s">
        <v>670</v>
      </c>
    </row>
    <row r="1192" spans="1:14" x14ac:dyDescent="0.25">
      <c r="A1192" s="18">
        <v>46042</v>
      </c>
      <c r="B1192" t="s">
        <v>289</v>
      </c>
      <c r="C1192" t="s">
        <v>318</v>
      </c>
      <c r="D1192" t="s">
        <v>22</v>
      </c>
      <c r="E1192" t="s">
        <v>23</v>
      </c>
      <c r="F1192" t="s">
        <v>21</v>
      </c>
      <c r="G1192">
        <v>2008</v>
      </c>
      <c r="H1192">
        <v>24.26</v>
      </c>
      <c r="I1192">
        <v>-48714.080000000002</v>
      </c>
      <c r="K1192">
        <v>24.26</v>
      </c>
      <c r="L1192">
        <v>-48714.080000000002</v>
      </c>
      <c r="M1192" t="s">
        <v>22</v>
      </c>
      <c r="N1192" t="s">
        <v>318</v>
      </c>
    </row>
    <row r="1193" spans="1:14" x14ac:dyDescent="0.25">
      <c r="A1193" s="18">
        <v>46042</v>
      </c>
      <c r="B1193" t="s">
        <v>289</v>
      </c>
      <c r="C1193" t="s">
        <v>608</v>
      </c>
      <c r="D1193" t="s">
        <v>26</v>
      </c>
      <c r="E1193" t="s">
        <v>27</v>
      </c>
      <c r="F1193" t="s">
        <v>21</v>
      </c>
      <c r="G1193">
        <v>181</v>
      </c>
      <c r="H1193">
        <v>269.74310000000003</v>
      </c>
      <c r="I1193">
        <v>-48823.501100000001</v>
      </c>
      <c r="K1193">
        <v>269.74310000000003</v>
      </c>
      <c r="L1193">
        <v>-48823.501100000001</v>
      </c>
      <c r="M1193" t="s">
        <v>26</v>
      </c>
      <c r="N1193" t="s">
        <v>608</v>
      </c>
    </row>
    <row r="1194" spans="1:14" x14ac:dyDescent="0.25">
      <c r="A1194" s="18">
        <v>46042</v>
      </c>
      <c r="B1194" t="s">
        <v>289</v>
      </c>
      <c r="C1194" t="s">
        <v>742</v>
      </c>
      <c r="D1194" t="s">
        <v>50</v>
      </c>
      <c r="E1194" t="s">
        <v>743</v>
      </c>
      <c r="F1194" t="s">
        <v>21</v>
      </c>
      <c r="G1194">
        <v>8290</v>
      </c>
      <c r="H1194">
        <v>11.77</v>
      </c>
      <c r="I1194">
        <v>-97573.3</v>
      </c>
      <c r="K1194">
        <v>11.77</v>
      </c>
      <c r="L1194">
        <v>-97573.3</v>
      </c>
      <c r="M1194" t="s">
        <v>50</v>
      </c>
      <c r="N1194" t="s">
        <v>742</v>
      </c>
    </row>
    <row r="1195" spans="1:14" x14ac:dyDescent="0.25">
      <c r="A1195" s="18">
        <v>46042</v>
      </c>
      <c r="B1195" t="s">
        <v>319</v>
      </c>
      <c r="C1195" t="s">
        <v>358</v>
      </c>
      <c r="D1195" t="s">
        <v>359</v>
      </c>
      <c r="E1195" t="s">
        <v>360</v>
      </c>
      <c r="F1195" t="s">
        <v>21</v>
      </c>
      <c r="G1195">
        <v>-5793</v>
      </c>
      <c r="H1195">
        <v>18.5534</v>
      </c>
      <c r="I1195">
        <v>107479.8462</v>
      </c>
      <c r="K1195">
        <v>18.5534</v>
      </c>
      <c r="L1195">
        <v>107479.8462</v>
      </c>
      <c r="M1195" t="s">
        <v>359</v>
      </c>
      <c r="N1195" t="s">
        <v>358</v>
      </c>
    </row>
    <row r="1196" spans="1:14" x14ac:dyDescent="0.25">
      <c r="A1196" s="18">
        <v>46042</v>
      </c>
      <c r="B1196" t="s">
        <v>289</v>
      </c>
      <c r="C1196" t="s">
        <v>755</v>
      </c>
      <c r="D1196" t="s">
        <v>756</v>
      </c>
      <c r="E1196" t="s">
        <v>757</v>
      </c>
      <c r="F1196" t="s">
        <v>49</v>
      </c>
      <c r="G1196">
        <v>359</v>
      </c>
      <c r="H1196">
        <v>318.18639999999999</v>
      </c>
      <c r="I1196">
        <v>-114228.9176</v>
      </c>
      <c r="K1196">
        <v>318.18639999999999</v>
      </c>
      <c r="L1196">
        <v>-114228.9176</v>
      </c>
      <c r="M1196" t="s">
        <v>756</v>
      </c>
      <c r="N1196" t="s">
        <v>755</v>
      </c>
    </row>
    <row r="1197" spans="1:14" x14ac:dyDescent="0.25">
      <c r="A1197" s="18">
        <v>46043</v>
      </c>
      <c r="B1197" t="s">
        <v>319</v>
      </c>
      <c r="C1197" t="s">
        <v>328</v>
      </c>
      <c r="D1197" t="s">
        <v>329</v>
      </c>
      <c r="E1197" t="s">
        <v>330</v>
      </c>
      <c r="F1197" t="s">
        <v>21</v>
      </c>
      <c r="G1197">
        <v>-52</v>
      </c>
      <c r="H1197">
        <v>1901.75</v>
      </c>
      <c r="I1197">
        <v>98891</v>
      </c>
      <c r="K1197">
        <v>1901.75</v>
      </c>
      <c r="L1197">
        <v>98891</v>
      </c>
      <c r="M1197" t="s">
        <v>329</v>
      </c>
      <c r="N1197" t="s">
        <v>328</v>
      </c>
    </row>
    <row r="1198" spans="1:14" x14ac:dyDescent="0.25">
      <c r="A1198" s="18">
        <v>46043</v>
      </c>
      <c r="B1198" t="s">
        <v>289</v>
      </c>
      <c r="C1198" t="s">
        <v>742</v>
      </c>
      <c r="D1198" t="s">
        <v>50</v>
      </c>
      <c r="E1198" t="s">
        <v>743</v>
      </c>
      <c r="F1198" t="s">
        <v>21</v>
      </c>
      <c r="G1198">
        <v>4145</v>
      </c>
      <c r="H1198">
        <v>11.503299999999999</v>
      </c>
      <c r="I1198">
        <v>-47681.178499999995</v>
      </c>
      <c r="K1198">
        <v>11.503299999999999</v>
      </c>
      <c r="L1198">
        <v>-47681.178499999995</v>
      </c>
      <c r="M1198" t="s">
        <v>50</v>
      </c>
      <c r="N1198" t="s">
        <v>742</v>
      </c>
    </row>
    <row r="1199" spans="1:14" x14ac:dyDescent="0.25">
      <c r="A1199" s="18">
        <v>46043</v>
      </c>
      <c r="B1199" t="s">
        <v>289</v>
      </c>
      <c r="C1199" t="s">
        <v>331</v>
      </c>
      <c r="D1199" t="s">
        <v>332</v>
      </c>
      <c r="E1199" t="s">
        <v>333</v>
      </c>
      <c r="F1199" t="s">
        <v>21</v>
      </c>
      <c r="G1199">
        <v>37</v>
      </c>
      <c r="H1199">
        <v>1398.2</v>
      </c>
      <c r="I1199">
        <v>-51733.4</v>
      </c>
      <c r="K1199">
        <v>1398.2</v>
      </c>
      <c r="L1199">
        <v>-51733.4</v>
      </c>
      <c r="M1199" t="s">
        <v>332</v>
      </c>
      <c r="N1199" t="s">
        <v>331</v>
      </c>
    </row>
    <row r="1200" spans="1:14" x14ac:dyDescent="0.25">
      <c r="A1200" s="18">
        <v>46043</v>
      </c>
      <c r="B1200" t="s">
        <v>289</v>
      </c>
      <c r="C1200" t="s">
        <v>742</v>
      </c>
      <c r="D1200" t="s">
        <v>50</v>
      </c>
      <c r="E1200" t="s">
        <v>743</v>
      </c>
      <c r="F1200" t="s">
        <v>21</v>
      </c>
      <c r="G1200">
        <v>4290</v>
      </c>
      <c r="H1200">
        <v>11.585000000000001</v>
      </c>
      <c r="I1200">
        <v>-49699.65</v>
      </c>
      <c r="K1200">
        <v>11.585000000000001</v>
      </c>
      <c r="L1200">
        <v>-49699.65</v>
      </c>
      <c r="M1200" t="s">
        <v>50</v>
      </c>
      <c r="N1200" t="s">
        <v>742</v>
      </c>
    </row>
    <row r="1201" spans="1:14" x14ac:dyDescent="0.25">
      <c r="A1201" s="18">
        <v>46043</v>
      </c>
      <c r="B1201" t="s">
        <v>289</v>
      </c>
      <c r="C1201" t="s">
        <v>493</v>
      </c>
      <c r="D1201" t="s">
        <v>28</v>
      </c>
      <c r="E1201" t="s">
        <v>29</v>
      </c>
      <c r="F1201" t="s">
        <v>21</v>
      </c>
      <c r="G1201">
        <v>220</v>
      </c>
      <c r="H1201">
        <v>225.77500000000001</v>
      </c>
      <c r="I1201">
        <v>-49670.5</v>
      </c>
      <c r="K1201">
        <v>225.77500000000001</v>
      </c>
      <c r="L1201">
        <v>-49670.5</v>
      </c>
      <c r="M1201" t="s">
        <v>28</v>
      </c>
      <c r="N1201" t="s">
        <v>493</v>
      </c>
    </row>
    <row r="1202" spans="1:14" x14ac:dyDescent="0.25">
      <c r="A1202" s="18">
        <v>46043</v>
      </c>
      <c r="B1202" t="s">
        <v>319</v>
      </c>
      <c r="C1202" t="s">
        <v>358</v>
      </c>
      <c r="D1202" t="s">
        <v>359</v>
      </c>
      <c r="E1202" t="s">
        <v>360</v>
      </c>
      <c r="F1202" t="s">
        <v>21</v>
      </c>
      <c r="G1202">
        <v>-6904</v>
      </c>
      <c r="H1202">
        <v>18.588899999999999</v>
      </c>
      <c r="I1202">
        <v>128337.7656</v>
      </c>
      <c r="K1202">
        <v>18.588899999999999</v>
      </c>
      <c r="L1202">
        <v>128337.7656</v>
      </c>
      <c r="M1202" t="s">
        <v>359</v>
      </c>
      <c r="N1202" t="s">
        <v>358</v>
      </c>
    </row>
    <row r="1203" spans="1:14" x14ac:dyDescent="0.25">
      <c r="A1203" s="18">
        <v>46043</v>
      </c>
      <c r="B1203" t="s">
        <v>289</v>
      </c>
      <c r="C1203" t="s">
        <v>758</v>
      </c>
      <c r="D1203" t="s">
        <v>759</v>
      </c>
      <c r="E1203" t="s">
        <v>760</v>
      </c>
      <c r="F1203" t="s">
        <v>21</v>
      </c>
      <c r="G1203">
        <v>3917</v>
      </c>
      <c r="H1203">
        <v>50.825000000000003</v>
      </c>
      <c r="I1203">
        <v>-199081.52500000002</v>
      </c>
      <c r="K1203">
        <v>50.825000000000003</v>
      </c>
      <c r="L1203">
        <v>-199081.52500000002</v>
      </c>
      <c r="M1203" t="s">
        <v>759</v>
      </c>
      <c r="N1203" t="s">
        <v>758</v>
      </c>
    </row>
    <row r="1204" spans="1:14" x14ac:dyDescent="0.25">
      <c r="A1204" s="18">
        <v>46044</v>
      </c>
      <c r="B1204" t="s">
        <v>289</v>
      </c>
      <c r="C1204" t="s">
        <v>761</v>
      </c>
      <c r="D1204" t="s">
        <v>762</v>
      </c>
      <c r="E1204" t="s">
        <v>763</v>
      </c>
      <c r="F1204" t="s">
        <v>82</v>
      </c>
      <c r="G1204">
        <v>610</v>
      </c>
      <c r="H1204">
        <v>152.16050000000001</v>
      </c>
      <c r="I1204">
        <v>-92817.905000000013</v>
      </c>
      <c r="K1204">
        <v>152.16050000000001</v>
      </c>
      <c r="L1204">
        <v>-92817.905000000013</v>
      </c>
      <c r="M1204" t="s">
        <v>762</v>
      </c>
      <c r="N1204" t="s">
        <v>761</v>
      </c>
    </row>
    <row r="1205" spans="1:14" x14ac:dyDescent="0.25">
      <c r="A1205" s="18">
        <v>46044</v>
      </c>
      <c r="B1205" t="s">
        <v>289</v>
      </c>
      <c r="C1205" t="s">
        <v>619</v>
      </c>
      <c r="D1205" t="s">
        <v>620</v>
      </c>
      <c r="E1205" t="s">
        <v>621</v>
      </c>
      <c r="F1205" t="s">
        <v>21</v>
      </c>
      <c r="G1205">
        <v>374</v>
      </c>
      <c r="H1205">
        <v>269.334</v>
      </c>
      <c r="I1205">
        <v>-100730.916</v>
      </c>
      <c r="K1205">
        <v>269.334</v>
      </c>
      <c r="L1205">
        <v>-100730.916</v>
      </c>
      <c r="M1205" t="s">
        <v>620</v>
      </c>
      <c r="N1205" t="s">
        <v>619</v>
      </c>
    </row>
    <row r="1206" spans="1:14" x14ac:dyDescent="0.25">
      <c r="A1206" s="18">
        <v>46044</v>
      </c>
      <c r="B1206" t="s">
        <v>289</v>
      </c>
      <c r="C1206" t="s">
        <v>746</v>
      </c>
      <c r="D1206" t="s">
        <v>52</v>
      </c>
      <c r="E1206" t="s">
        <v>53</v>
      </c>
      <c r="F1206" t="s">
        <v>21</v>
      </c>
      <c r="G1206">
        <v>1030</v>
      </c>
      <c r="H1206">
        <v>57.756599999999999</v>
      </c>
      <c r="I1206">
        <v>-59489.297999999995</v>
      </c>
      <c r="K1206">
        <v>57.756599999999999</v>
      </c>
      <c r="L1206">
        <v>-59489.297999999995</v>
      </c>
      <c r="M1206" t="s">
        <v>52</v>
      </c>
      <c r="N1206" t="s">
        <v>746</v>
      </c>
    </row>
    <row r="1207" spans="1:14" x14ac:dyDescent="0.25">
      <c r="A1207" s="18">
        <v>46044</v>
      </c>
      <c r="B1207" t="s">
        <v>289</v>
      </c>
      <c r="C1207" t="s">
        <v>328</v>
      </c>
      <c r="D1207" t="s">
        <v>329</v>
      </c>
      <c r="E1207" t="s">
        <v>330</v>
      </c>
      <c r="F1207" t="s">
        <v>21</v>
      </c>
      <c r="G1207">
        <v>33</v>
      </c>
      <c r="H1207">
        <v>1812.5</v>
      </c>
      <c r="I1207">
        <v>-59812.5</v>
      </c>
      <c r="K1207">
        <v>1812.5</v>
      </c>
      <c r="L1207">
        <v>-59812.5</v>
      </c>
      <c r="M1207" t="s">
        <v>329</v>
      </c>
      <c r="N1207" t="s">
        <v>328</v>
      </c>
    </row>
    <row r="1208" spans="1:14" x14ac:dyDescent="0.25">
      <c r="A1208" s="18">
        <v>46044</v>
      </c>
      <c r="B1208" t="s">
        <v>289</v>
      </c>
      <c r="C1208" t="s">
        <v>608</v>
      </c>
      <c r="D1208" t="s">
        <v>26</v>
      </c>
      <c r="E1208" t="s">
        <v>27</v>
      </c>
      <c r="F1208" t="s">
        <v>21</v>
      </c>
      <c r="G1208">
        <v>220</v>
      </c>
      <c r="H1208">
        <v>280.77820000000003</v>
      </c>
      <c r="I1208">
        <v>-61771.204000000005</v>
      </c>
      <c r="K1208">
        <v>280.77820000000003</v>
      </c>
      <c r="L1208">
        <v>-61771.204000000005</v>
      </c>
      <c r="M1208" t="s">
        <v>26</v>
      </c>
      <c r="N1208" t="s">
        <v>608</v>
      </c>
    </row>
    <row r="1209" spans="1:14" x14ac:dyDescent="0.25">
      <c r="A1209" s="18">
        <v>46044</v>
      </c>
      <c r="B1209" t="s">
        <v>289</v>
      </c>
      <c r="C1209" t="s">
        <v>633</v>
      </c>
      <c r="D1209" t="s">
        <v>634</v>
      </c>
      <c r="E1209" t="s">
        <v>281</v>
      </c>
      <c r="F1209" t="s">
        <v>21</v>
      </c>
      <c r="G1209">
        <v>1699</v>
      </c>
      <c r="H1209">
        <v>45.538899999999998</v>
      </c>
      <c r="I1209">
        <v>-77370.591099999991</v>
      </c>
      <c r="K1209">
        <v>45.538899999999991</v>
      </c>
      <c r="L1209">
        <v>-77370.591099999991</v>
      </c>
      <c r="M1209" t="s">
        <v>634</v>
      </c>
      <c r="N1209" t="s">
        <v>633</v>
      </c>
    </row>
    <row r="1210" spans="1:14" x14ac:dyDescent="0.25">
      <c r="A1210" s="18">
        <v>46044</v>
      </c>
      <c r="B1210" t="s">
        <v>289</v>
      </c>
      <c r="C1210" t="s">
        <v>633</v>
      </c>
      <c r="D1210" t="s">
        <v>634</v>
      </c>
      <c r="E1210" t="s">
        <v>281</v>
      </c>
      <c r="F1210" t="s">
        <v>21</v>
      </c>
      <c r="G1210">
        <v>1471</v>
      </c>
      <c r="H1210">
        <v>45.4437</v>
      </c>
      <c r="I1210">
        <v>-66847.682700000005</v>
      </c>
      <c r="K1210">
        <v>45.4437</v>
      </c>
      <c r="L1210">
        <v>-66847.682700000005</v>
      </c>
      <c r="M1210" t="s">
        <v>634</v>
      </c>
      <c r="N1210" t="s">
        <v>633</v>
      </c>
    </row>
    <row r="1211" spans="1:14" x14ac:dyDescent="0.25">
      <c r="A1211" s="18">
        <v>46044</v>
      </c>
      <c r="B1211" t="s">
        <v>319</v>
      </c>
      <c r="C1211" t="s">
        <v>479</v>
      </c>
      <c r="D1211" t="s">
        <v>480</v>
      </c>
      <c r="E1211" t="s">
        <v>481</v>
      </c>
      <c r="F1211" t="s">
        <v>21</v>
      </c>
      <c r="G1211">
        <v>-358</v>
      </c>
      <c r="H1211">
        <v>209.2</v>
      </c>
      <c r="I1211">
        <v>74893.599999999991</v>
      </c>
      <c r="K1211">
        <v>209.2</v>
      </c>
      <c r="L1211">
        <v>74893.599999999991</v>
      </c>
      <c r="M1211" t="s">
        <v>480</v>
      </c>
      <c r="N1211" t="s">
        <v>479</v>
      </c>
    </row>
    <row r="1212" spans="1:14" x14ac:dyDescent="0.25">
      <c r="A1212" s="18">
        <v>46044</v>
      </c>
      <c r="B1212" t="s">
        <v>289</v>
      </c>
      <c r="C1212" t="s">
        <v>755</v>
      </c>
      <c r="D1212" t="s">
        <v>756</v>
      </c>
      <c r="E1212" t="s">
        <v>757</v>
      </c>
      <c r="F1212" t="s">
        <v>49</v>
      </c>
      <c r="G1212">
        <v>368</v>
      </c>
      <c r="H1212">
        <v>302.4778</v>
      </c>
      <c r="I1212">
        <v>-111311.83040000001</v>
      </c>
      <c r="K1212">
        <v>302.4778</v>
      </c>
      <c r="L1212">
        <v>-111311.83040000001</v>
      </c>
      <c r="M1212" t="s">
        <v>756</v>
      </c>
      <c r="N1212" t="s">
        <v>755</v>
      </c>
    </row>
    <row r="1213" spans="1:14" x14ac:dyDescent="0.25">
      <c r="A1213" s="18">
        <v>46044</v>
      </c>
      <c r="B1213" t="s">
        <v>289</v>
      </c>
      <c r="C1213" t="s">
        <v>320</v>
      </c>
      <c r="D1213" t="s">
        <v>321</v>
      </c>
      <c r="E1213" t="s">
        <v>322</v>
      </c>
      <c r="F1213" t="s">
        <v>36</v>
      </c>
      <c r="G1213">
        <v>4100</v>
      </c>
      <c r="H1213">
        <v>16</v>
      </c>
      <c r="I1213">
        <v>-65600</v>
      </c>
      <c r="K1213">
        <v>16</v>
      </c>
      <c r="L1213">
        <v>-65600</v>
      </c>
      <c r="M1213" t="s">
        <v>321</v>
      </c>
      <c r="N1213" t="s">
        <v>320</v>
      </c>
    </row>
    <row r="1214" spans="1:14" x14ac:dyDescent="0.25">
      <c r="A1214" s="18">
        <v>46044</v>
      </c>
      <c r="B1214" t="s">
        <v>319</v>
      </c>
      <c r="C1214" t="s">
        <v>670</v>
      </c>
      <c r="D1214" t="s">
        <v>671</v>
      </c>
      <c r="E1214" t="s">
        <v>672</v>
      </c>
      <c r="F1214" t="s">
        <v>21</v>
      </c>
      <c r="G1214">
        <v>-1210</v>
      </c>
      <c r="H1214">
        <v>125.95</v>
      </c>
      <c r="I1214">
        <v>152399.5</v>
      </c>
      <c r="K1214">
        <v>125.95</v>
      </c>
      <c r="L1214">
        <v>152399.5</v>
      </c>
      <c r="M1214" t="s">
        <v>671</v>
      </c>
      <c r="N1214" t="s">
        <v>670</v>
      </c>
    </row>
    <row r="1215" spans="1:14" x14ac:dyDescent="0.25">
      <c r="A1215" s="18">
        <v>46044</v>
      </c>
      <c r="B1215" t="s">
        <v>289</v>
      </c>
      <c r="C1215" t="s">
        <v>755</v>
      </c>
      <c r="D1215" t="s">
        <v>756</v>
      </c>
      <c r="E1215" t="s">
        <v>757</v>
      </c>
      <c r="F1215" t="s">
        <v>49</v>
      </c>
      <c r="G1215">
        <v>277</v>
      </c>
      <c r="H1215">
        <v>298.31330000000003</v>
      </c>
      <c r="I1215">
        <v>-82632.784100000004</v>
      </c>
      <c r="K1215">
        <v>298.31330000000003</v>
      </c>
      <c r="L1215">
        <v>-82632.784100000004</v>
      </c>
      <c r="M1215" t="s">
        <v>756</v>
      </c>
      <c r="N1215" t="s">
        <v>755</v>
      </c>
    </row>
    <row r="1216" spans="1:14" x14ac:dyDescent="0.25">
      <c r="A1216" s="18">
        <v>46045</v>
      </c>
      <c r="B1216" t="s">
        <v>289</v>
      </c>
      <c r="C1216" t="s">
        <v>633</v>
      </c>
      <c r="D1216" t="s">
        <v>634</v>
      </c>
      <c r="E1216" t="s">
        <v>281</v>
      </c>
      <c r="F1216" t="s">
        <v>21</v>
      </c>
      <c r="G1216">
        <v>1326</v>
      </c>
      <c r="H1216">
        <v>44.6</v>
      </c>
      <c r="I1216">
        <v>-59139.6</v>
      </c>
      <c r="K1216">
        <v>44.6</v>
      </c>
      <c r="L1216">
        <v>-59139.6</v>
      </c>
      <c r="M1216" t="s">
        <v>634</v>
      </c>
      <c r="N1216" t="s">
        <v>633</v>
      </c>
    </row>
    <row r="1217" spans="1:14" x14ac:dyDescent="0.25">
      <c r="A1217" s="18">
        <v>46045</v>
      </c>
      <c r="B1217" t="s">
        <v>319</v>
      </c>
      <c r="C1217" t="s">
        <v>670</v>
      </c>
      <c r="D1217" t="s">
        <v>671</v>
      </c>
      <c r="E1217" t="s">
        <v>672</v>
      </c>
      <c r="F1217" t="s">
        <v>21</v>
      </c>
      <c r="G1217">
        <v>-474</v>
      </c>
      <c r="H1217">
        <v>125.6142</v>
      </c>
      <c r="I1217">
        <v>59541.130799999999</v>
      </c>
      <c r="K1217">
        <v>125.6142</v>
      </c>
      <c r="L1217">
        <v>59541.130799999999</v>
      </c>
      <c r="M1217" t="s">
        <v>671</v>
      </c>
      <c r="N1217" t="s">
        <v>670</v>
      </c>
    </row>
    <row r="1218" spans="1:14" x14ac:dyDescent="0.25">
      <c r="A1218" s="18">
        <v>46045</v>
      </c>
      <c r="B1218" t="s">
        <v>289</v>
      </c>
      <c r="C1218" t="s">
        <v>742</v>
      </c>
      <c r="D1218" t="s">
        <v>50</v>
      </c>
      <c r="E1218" t="s">
        <v>743</v>
      </c>
      <c r="F1218" t="s">
        <v>21</v>
      </c>
      <c r="G1218">
        <v>12720</v>
      </c>
      <c r="H1218">
        <v>11.73</v>
      </c>
      <c r="I1218">
        <v>-149205.6</v>
      </c>
      <c r="K1218">
        <v>11.73</v>
      </c>
      <c r="L1218">
        <v>-149205.6</v>
      </c>
      <c r="M1218" t="s">
        <v>50</v>
      </c>
      <c r="N1218" t="s">
        <v>742</v>
      </c>
    </row>
    <row r="1219" spans="1:14" x14ac:dyDescent="0.25">
      <c r="A1219" s="18">
        <v>46045</v>
      </c>
      <c r="B1219" t="s">
        <v>319</v>
      </c>
      <c r="C1219" t="s">
        <v>746</v>
      </c>
      <c r="D1219" t="s">
        <v>52</v>
      </c>
      <c r="E1219" t="s">
        <v>53</v>
      </c>
      <c r="F1219" t="s">
        <v>21</v>
      </c>
      <c r="G1219">
        <v>-2639</v>
      </c>
      <c r="H1219">
        <v>56.9</v>
      </c>
      <c r="I1219">
        <v>150159.1</v>
      </c>
      <c r="K1219">
        <v>56.900000000000006</v>
      </c>
      <c r="L1219">
        <v>150159.1</v>
      </c>
      <c r="M1219" t="s">
        <v>52</v>
      </c>
      <c r="N1219" t="s">
        <v>746</v>
      </c>
    </row>
    <row r="1220" spans="1:14" x14ac:dyDescent="0.25">
      <c r="A1220" s="18">
        <v>46045</v>
      </c>
      <c r="B1220" t="s">
        <v>289</v>
      </c>
      <c r="C1220" t="s">
        <v>641</v>
      </c>
      <c r="D1220" t="s">
        <v>37</v>
      </c>
      <c r="E1220" t="s">
        <v>38</v>
      </c>
      <c r="F1220" t="s">
        <v>36</v>
      </c>
      <c r="G1220">
        <v>1800</v>
      </c>
      <c r="H1220">
        <v>29.151499999999999</v>
      </c>
      <c r="I1220">
        <v>-52472.7</v>
      </c>
      <c r="K1220">
        <v>29.151499999999999</v>
      </c>
      <c r="L1220">
        <v>-52472.7</v>
      </c>
      <c r="M1220" t="s">
        <v>37</v>
      </c>
      <c r="N1220" t="s">
        <v>641</v>
      </c>
    </row>
    <row r="1221" spans="1:14" x14ac:dyDescent="0.25">
      <c r="A1221" s="18">
        <v>46045</v>
      </c>
      <c r="B1221" t="s">
        <v>319</v>
      </c>
      <c r="C1221" t="s">
        <v>479</v>
      </c>
      <c r="D1221" t="s">
        <v>480</v>
      </c>
      <c r="E1221" t="s">
        <v>481</v>
      </c>
      <c r="F1221" t="s">
        <v>21</v>
      </c>
      <c r="G1221">
        <v>-358</v>
      </c>
      <c r="H1221">
        <v>206.92</v>
      </c>
      <c r="I1221">
        <v>74077.36</v>
      </c>
      <c r="K1221">
        <v>206.92</v>
      </c>
      <c r="L1221">
        <v>74077.36</v>
      </c>
      <c r="M1221" t="s">
        <v>480</v>
      </c>
      <c r="N1221" t="s">
        <v>479</v>
      </c>
    </row>
    <row r="1222" spans="1:14" x14ac:dyDescent="0.25">
      <c r="A1222" s="18">
        <v>46048</v>
      </c>
      <c r="B1222" t="s">
        <v>289</v>
      </c>
      <c r="C1222" t="s">
        <v>320</v>
      </c>
      <c r="D1222" t="s">
        <v>321</v>
      </c>
      <c r="E1222" t="s">
        <v>322</v>
      </c>
      <c r="F1222" t="s">
        <v>36</v>
      </c>
      <c r="G1222">
        <v>4050</v>
      </c>
      <c r="H1222">
        <v>16.2</v>
      </c>
      <c r="I1222">
        <v>-65610</v>
      </c>
      <c r="K1222">
        <v>16.2</v>
      </c>
      <c r="L1222">
        <v>-65610</v>
      </c>
      <c r="M1222" t="s">
        <v>321</v>
      </c>
      <c r="N1222" t="s">
        <v>320</v>
      </c>
    </row>
    <row r="1223" spans="1:14" x14ac:dyDescent="0.25">
      <c r="A1223" s="18">
        <v>46048</v>
      </c>
      <c r="B1223" t="s">
        <v>319</v>
      </c>
      <c r="C1223" t="s">
        <v>479</v>
      </c>
      <c r="D1223" t="s">
        <v>480</v>
      </c>
      <c r="E1223" t="s">
        <v>481</v>
      </c>
      <c r="F1223" t="s">
        <v>21</v>
      </c>
      <c r="G1223">
        <v>-729</v>
      </c>
      <c r="H1223">
        <v>205.4658</v>
      </c>
      <c r="I1223">
        <v>149784.56820000001</v>
      </c>
      <c r="K1223">
        <v>205.4658</v>
      </c>
      <c r="L1223">
        <v>149784.56820000001</v>
      </c>
      <c r="M1223" t="s">
        <v>480</v>
      </c>
      <c r="N1223" t="s">
        <v>479</v>
      </c>
    </row>
    <row r="1224" spans="1:14" x14ac:dyDescent="0.25">
      <c r="A1224" s="18">
        <v>46048</v>
      </c>
      <c r="B1224" t="s">
        <v>289</v>
      </c>
      <c r="C1224" t="s">
        <v>670</v>
      </c>
      <c r="D1224" t="s">
        <v>671</v>
      </c>
      <c r="E1224" t="s">
        <v>672</v>
      </c>
      <c r="F1224" t="s">
        <v>21</v>
      </c>
      <c r="G1224">
        <v>590</v>
      </c>
      <c r="H1224">
        <v>127.9812</v>
      </c>
      <c r="I1224">
        <v>-75508.907999999996</v>
      </c>
      <c r="K1224">
        <v>127.98119999999999</v>
      </c>
      <c r="L1224">
        <v>-75508.907999999996</v>
      </c>
      <c r="M1224" t="s">
        <v>671</v>
      </c>
      <c r="N1224" t="s">
        <v>670</v>
      </c>
    </row>
    <row r="1225" spans="1:14" x14ac:dyDescent="0.25">
      <c r="A1225" s="18">
        <v>46048</v>
      </c>
      <c r="B1225" t="s">
        <v>319</v>
      </c>
      <c r="C1225" t="s">
        <v>452</v>
      </c>
      <c r="D1225" t="s">
        <v>453</v>
      </c>
      <c r="E1225" t="s">
        <v>454</v>
      </c>
      <c r="F1225" t="s">
        <v>162</v>
      </c>
      <c r="G1225">
        <v>-6700</v>
      </c>
      <c r="H1225">
        <v>189.56020000000001</v>
      </c>
      <c r="I1225">
        <v>1270053.3400000001</v>
      </c>
      <c r="K1225">
        <v>189.56020000000001</v>
      </c>
      <c r="L1225">
        <v>1270053.3400000001</v>
      </c>
      <c r="M1225" t="s">
        <v>453</v>
      </c>
      <c r="N1225" t="s">
        <v>452</v>
      </c>
    </row>
    <row r="1226" spans="1:14" x14ac:dyDescent="0.25">
      <c r="A1226" s="18">
        <v>46048</v>
      </c>
      <c r="B1226" t="s">
        <v>319</v>
      </c>
      <c r="C1226" t="s">
        <v>311</v>
      </c>
      <c r="D1226" t="s">
        <v>312</v>
      </c>
      <c r="E1226" t="s">
        <v>313</v>
      </c>
      <c r="F1226" t="s">
        <v>21</v>
      </c>
      <c r="G1226">
        <v>-484</v>
      </c>
      <c r="H1226">
        <v>305.8177</v>
      </c>
      <c r="I1226">
        <v>148015.76680000001</v>
      </c>
      <c r="K1226">
        <v>305.8177</v>
      </c>
      <c r="L1226">
        <v>148015.76680000001</v>
      </c>
      <c r="M1226" t="s">
        <v>312</v>
      </c>
      <c r="N1226" t="s">
        <v>311</v>
      </c>
    </row>
    <row r="1227" spans="1:14" x14ac:dyDescent="0.25">
      <c r="A1227" s="18">
        <v>46048</v>
      </c>
      <c r="B1227" t="s">
        <v>289</v>
      </c>
      <c r="C1227" t="s">
        <v>582</v>
      </c>
      <c r="D1227" t="s">
        <v>83</v>
      </c>
      <c r="E1227" t="s">
        <v>583</v>
      </c>
      <c r="F1227" t="s">
        <v>82</v>
      </c>
      <c r="G1227">
        <v>450</v>
      </c>
      <c r="H1227">
        <v>152.27500000000001</v>
      </c>
      <c r="I1227">
        <v>-68523.75</v>
      </c>
      <c r="K1227">
        <v>152.27500000000001</v>
      </c>
      <c r="L1227">
        <v>-68523.75</v>
      </c>
      <c r="M1227" t="s">
        <v>83</v>
      </c>
      <c r="N1227" t="s">
        <v>582</v>
      </c>
    </row>
    <row r="1228" spans="1:14" x14ac:dyDescent="0.25">
      <c r="A1228" s="18">
        <v>46048</v>
      </c>
      <c r="B1228" t="s">
        <v>319</v>
      </c>
      <c r="C1228" t="s">
        <v>688</v>
      </c>
      <c r="D1228" t="s">
        <v>689</v>
      </c>
      <c r="E1228" t="s">
        <v>690</v>
      </c>
      <c r="F1228" t="s">
        <v>82</v>
      </c>
      <c r="G1228">
        <v>-2180</v>
      </c>
      <c r="H1228">
        <v>62.264099999999999</v>
      </c>
      <c r="I1228">
        <v>135735.73800000001</v>
      </c>
      <c r="K1228">
        <v>62.264100000000006</v>
      </c>
      <c r="L1228">
        <v>135735.73800000001</v>
      </c>
      <c r="M1228" t="s">
        <v>689</v>
      </c>
      <c r="N1228" t="s">
        <v>688</v>
      </c>
    </row>
    <row r="1229" spans="1:14" x14ac:dyDescent="0.25">
      <c r="A1229" s="18">
        <v>46048</v>
      </c>
      <c r="B1229" t="s">
        <v>289</v>
      </c>
      <c r="C1229" t="s">
        <v>764</v>
      </c>
      <c r="D1229" t="s">
        <v>765</v>
      </c>
      <c r="E1229" t="s">
        <v>766</v>
      </c>
      <c r="F1229" t="s">
        <v>36</v>
      </c>
      <c r="G1229">
        <v>3627</v>
      </c>
      <c r="H1229">
        <v>37.0625</v>
      </c>
      <c r="I1229">
        <v>-134425.6875</v>
      </c>
      <c r="K1229">
        <v>37.0625</v>
      </c>
      <c r="L1229">
        <v>-134425.6875</v>
      </c>
      <c r="M1229" t="s">
        <v>765</v>
      </c>
      <c r="N1229" t="s">
        <v>764</v>
      </c>
    </row>
    <row r="1230" spans="1:14" x14ac:dyDescent="0.25">
      <c r="A1230" s="18">
        <v>46048</v>
      </c>
      <c r="B1230" t="s">
        <v>319</v>
      </c>
      <c r="C1230" t="s">
        <v>311</v>
      </c>
      <c r="D1230" t="s">
        <v>312</v>
      </c>
      <c r="E1230" t="s">
        <v>313</v>
      </c>
      <c r="F1230" t="s">
        <v>21</v>
      </c>
      <c r="G1230">
        <v>-162</v>
      </c>
      <c r="H1230">
        <v>307.5</v>
      </c>
      <c r="I1230">
        <v>49815</v>
      </c>
      <c r="K1230">
        <v>307.5</v>
      </c>
      <c r="L1230">
        <v>49815</v>
      </c>
      <c r="M1230" t="s">
        <v>312</v>
      </c>
      <c r="N1230" t="s">
        <v>311</v>
      </c>
    </row>
    <row r="1231" spans="1:14" x14ac:dyDescent="0.25">
      <c r="A1231" s="18">
        <v>46048</v>
      </c>
      <c r="B1231" t="s">
        <v>289</v>
      </c>
      <c r="C1231" t="s">
        <v>767</v>
      </c>
      <c r="D1231" t="s">
        <v>768</v>
      </c>
      <c r="E1231" t="s">
        <v>769</v>
      </c>
      <c r="F1231" t="s">
        <v>49</v>
      </c>
      <c r="G1231">
        <v>704</v>
      </c>
      <c r="H1231">
        <v>248.41550000000001</v>
      </c>
      <c r="I1231">
        <v>-174884.51200000002</v>
      </c>
      <c r="K1231">
        <v>248.41550000000004</v>
      </c>
      <c r="L1231">
        <v>-174884.51200000002</v>
      </c>
      <c r="M1231" t="s">
        <v>768</v>
      </c>
      <c r="N1231" t="s">
        <v>767</v>
      </c>
    </row>
    <row r="1232" spans="1:14" x14ac:dyDescent="0.25">
      <c r="A1232" s="18">
        <v>46049</v>
      </c>
      <c r="B1232" t="s">
        <v>289</v>
      </c>
      <c r="C1232" t="s">
        <v>294</v>
      </c>
      <c r="D1232" t="s">
        <v>80</v>
      </c>
      <c r="E1232" t="s">
        <v>505</v>
      </c>
      <c r="F1232" t="s">
        <v>82</v>
      </c>
      <c r="G1232">
        <v>1752</v>
      </c>
      <c r="H1232">
        <v>79.92</v>
      </c>
      <c r="I1232">
        <v>-140019.84</v>
      </c>
      <c r="K1232">
        <v>79.92</v>
      </c>
      <c r="L1232">
        <v>-140019.84</v>
      </c>
      <c r="M1232" t="s">
        <v>80</v>
      </c>
      <c r="N1232" t="s">
        <v>294</v>
      </c>
    </row>
    <row r="1233" spans="1:14" x14ac:dyDescent="0.25">
      <c r="A1233" s="18">
        <v>46049</v>
      </c>
      <c r="B1233" t="s">
        <v>319</v>
      </c>
      <c r="C1233" t="s">
        <v>323</v>
      </c>
      <c r="D1233" t="s">
        <v>39</v>
      </c>
      <c r="E1233" t="s">
        <v>40</v>
      </c>
      <c r="F1233" t="s">
        <v>36</v>
      </c>
      <c r="G1233">
        <v>-2929</v>
      </c>
      <c r="H1233">
        <v>43.74</v>
      </c>
      <c r="I1233">
        <v>128114.46</v>
      </c>
      <c r="K1233">
        <v>43.74</v>
      </c>
      <c r="L1233">
        <v>128114.46</v>
      </c>
      <c r="M1233" t="s">
        <v>39</v>
      </c>
      <c r="N1233" t="s">
        <v>323</v>
      </c>
    </row>
    <row r="1234" spans="1:14" x14ac:dyDescent="0.25">
      <c r="A1234" s="18">
        <v>46049</v>
      </c>
      <c r="B1234" t="s">
        <v>289</v>
      </c>
      <c r="C1234" t="s">
        <v>764</v>
      </c>
      <c r="D1234" t="s">
        <v>765</v>
      </c>
      <c r="E1234" t="s">
        <v>766</v>
      </c>
      <c r="F1234" t="s">
        <v>36</v>
      </c>
      <c r="G1234">
        <v>3221</v>
      </c>
      <c r="H1234">
        <v>37.047199999999997</v>
      </c>
      <c r="I1234">
        <v>-119329.03119999998</v>
      </c>
      <c r="K1234">
        <v>37.047199999999997</v>
      </c>
      <c r="L1234">
        <v>-119329.03119999998</v>
      </c>
      <c r="M1234" t="s">
        <v>765</v>
      </c>
      <c r="N1234" t="s">
        <v>764</v>
      </c>
    </row>
    <row r="1235" spans="1:14" x14ac:dyDescent="0.25">
      <c r="A1235" s="18">
        <v>46049</v>
      </c>
      <c r="B1235" t="s">
        <v>289</v>
      </c>
      <c r="C1235" t="s">
        <v>452</v>
      </c>
      <c r="D1235" t="s">
        <v>453</v>
      </c>
      <c r="E1235" t="s">
        <v>454</v>
      </c>
      <c r="F1235" t="s">
        <v>162</v>
      </c>
      <c r="G1235">
        <v>5600</v>
      </c>
      <c r="H1235">
        <v>187</v>
      </c>
      <c r="I1235">
        <v>-1047200</v>
      </c>
      <c r="K1235">
        <v>187</v>
      </c>
      <c r="L1235">
        <v>-1047200</v>
      </c>
      <c r="M1235" t="s">
        <v>453</v>
      </c>
      <c r="N1235" t="s">
        <v>452</v>
      </c>
    </row>
    <row r="1236" spans="1:14" x14ac:dyDescent="0.25">
      <c r="A1236" s="18">
        <v>46049</v>
      </c>
      <c r="B1236" t="s">
        <v>289</v>
      </c>
      <c r="C1236" t="s">
        <v>770</v>
      </c>
      <c r="D1236" t="s">
        <v>34</v>
      </c>
      <c r="E1236" t="s">
        <v>35</v>
      </c>
      <c r="F1236" t="s">
        <v>36</v>
      </c>
      <c r="G1236">
        <v>4000</v>
      </c>
      <c r="H1236">
        <v>67.252300000000005</v>
      </c>
      <c r="I1236">
        <v>-269009.2</v>
      </c>
      <c r="K1236">
        <v>67.252300000000005</v>
      </c>
      <c r="L1236">
        <v>-269009.2</v>
      </c>
      <c r="M1236" t="s">
        <v>34</v>
      </c>
      <c r="N1236" t="s">
        <v>770</v>
      </c>
    </row>
    <row r="1237" spans="1:14" x14ac:dyDescent="0.25">
      <c r="A1237" s="18">
        <v>46049</v>
      </c>
      <c r="B1237" t="s">
        <v>289</v>
      </c>
      <c r="C1237" t="s">
        <v>767</v>
      </c>
      <c r="D1237" t="s">
        <v>768</v>
      </c>
      <c r="E1237" t="s">
        <v>769</v>
      </c>
      <c r="F1237" t="s">
        <v>49</v>
      </c>
      <c r="G1237">
        <v>240</v>
      </c>
      <c r="H1237">
        <v>250.99</v>
      </c>
      <c r="I1237">
        <v>-60237.600000000006</v>
      </c>
      <c r="K1237">
        <v>250.99000000000004</v>
      </c>
      <c r="L1237">
        <v>-60237.600000000006</v>
      </c>
      <c r="M1237" t="s">
        <v>768</v>
      </c>
      <c r="N1237" t="s">
        <v>767</v>
      </c>
    </row>
    <row r="1238" spans="1:14" x14ac:dyDescent="0.25">
      <c r="A1238" s="18">
        <v>46049</v>
      </c>
      <c r="B1238" t="s">
        <v>289</v>
      </c>
      <c r="C1238" t="s">
        <v>764</v>
      </c>
      <c r="D1238" t="s">
        <v>765</v>
      </c>
      <c r="E1238" t="s">
        <v>766</v>
      </c>
      <c r="F1238" t="s">
        <v>36</v>
      </c>
      <c r="G1238">
        <v>1152</v>
      </c>
      <c r="H1238">
        <v>37.380000000000003</v>
      </c>
      <c r="I1238">
        <v>-43061.760000000002</v>
      </c>
      <c r="K1238">
        <v>37.380000000000003</v>
      </c>
      <c r="L1238">
        <v>-43061.760000000002</v>
      </c>
      <c r="M1238" t="s">
        <v>765</v>
      </c>
      <c r="N1238" t="s">
        <v>764</v>
      </c>
    </row>
    <row r="1239" spans="1:14" x14ac:dyDescent="0.25">
      <c r="A1239" s="18">
        <v>46049</v>
      </c>
      <c r="B1239" t="s">
        <v>319</v>
      </c>
      <c r="C1239" t="s">
        <v>691</v>
      </c>
      <c r="D1239" t="s">
        <v>692</v>
      </c>
      <c r="E1239" t="s">
        <v>693</v>
      </c>
      <c r="F1239" t="s">
        <v>49</v>
      </c>
      <c r="G1239">
        <v>-13615</v>
      </c>
      <c r="H1239">
        <v>54.220199999999998</v>
      </c>
      <c r="I1239">
        <v>738208.02299999993</v>
      </c>
      <c r="K1239">
        <v>54.220199999999991</v>
      </c>
      <c r="L1239">
        <v>738208.02299999993</v>
      </c>
      <c r="M1239" t="s">
        <v>692</v>
      </c>
      <c r="N1239" t="s">
        <v>691</v>
      </c>
    </row>
    <row r="1240" spans="1:14" x14ac:dyDescent="0.25">
      <c r="A1240" s="18">
        <v>46049</v>
      </c>
      <c r="B1240" t="s">
        <v>289</v>
      </c>
      <c r="C1240" t="s">
        <v>714</v>
      </c>
      <c r="D1240" t="s">
        <v>715</v>
      </c>
      <c r="E1240" t="s">
        <v>716</v>
      </c>
      <c r="F1240" t="s">
        <v>21</v>
      </c>
      <c r="G1240">
        <v>3</v>
      </c>
      <c r="H1240">
        <v>6009</v>
      </c>
      <c r="I1240">
        <v>-180270</v>
      </c>
      <c r="K1240">
        <v>6009</v>
      </c>
      <c r="L1240">
        <v>-180270</v>
      </c>
      <c r="M1240" t="s">
        <v>715</v>
      </c>
      <c r="N1240" t="s">
        <v>714</v>
      </c>
    </row>
    <row r="1241" spans="1:14" x14ac:dyDescent="0.25">
      <c r="A1241" s="18">
        <v>46049</v>
      </c>
      <c r="B1241" t="s">
        <v>319</v>
      </c>
      <c r="C1241" t="s">
        <v>720</v>
      </c>
      <c r="D1241" t="s">
        <v>721</v>
      </c>
      <c r="E1241" t="s">
        <v>722</v>
      </c>
      <c r="F1241" t="s">
        <v>49</v>
      </c>
      <c r="G1241">
        <v>-1</v>
      </c>
      <c r="H1241">
        <v>26089.25</v>
      </c>
      <c r="I1241">
        <v>521785</v>
      </c>
      <c r="K1241">
        <v>26089.25</v>
      </c>
      <c r="L1241">
        <v>521785</v>
      </c>
      <c r="M1241" t="s">
        <v>721</v>
      </c>
      <c r="N1241" t="s">
        <v>720</v>
      </c>
    </row>
    <row r="1242" spans="1:14" x14ac:dyDescent="0.25">
      <c r="A1242" s="18">
        <v>46049</v>
      </c>
      <c r="B1242" t="s">
        <v>289</v>
      </c>
      <c r="C1242" t="s">
        <v>294</v>
      </c>
      <c r="D1242" t="s">
        <v>80</v>
      </c>
      <c r="E1242" t="s">
        <v>505</v>
      </c>
      <c r="F1242" t="s">
        <v>82</v>
      </c>
      <c r="G1242">
        <v>4850</v>
      </c>
      <c r="H1242">
        <v>80.400000000000006</v>
      </c>
      <c r="I1242">
        <v>-389940</v>
      </c>
      <c r="K1242">
        <v>80.400000000000006</v>
      </c>
      <c r="L1242">
        <v>-389940</v>
      </c>
      <c r="M1242" t="s">
        <v>80</v>
      </c>
      <c r="N1242" t="s">
        <v>294</v>
      </c>
    </row>
    <row r="1243" spans="1:14" x14ac:dyDescent="0.25">
      <c r="A1243" s="18">
        <v>46050</v>
      </c>
      <c r="B1243" t="s">
        <v>289</v>
      </c>
      <c r="C1243" t="s">
        <v>770</v>
      </c>
      <c r="D1243" t="s">
        <v>34</v>
      </c>
      <c r="E1243" t="s">
        <v>35</v>
      </c>
      <c r="F1243" t="s">
        <v>36</v>
      </c>
      <c r="G1243">
        <v>650</v>
      </c>
      <c r="H1243">
        <v>67.5</v>
      </c>
      <c r="I1243">
        <v>-43875</v>
      </c>
      <c r="K1243">
        <v>67.5</v>
      </c>
      <c r="L1243">
        <v>-43875</v>
      </c>
      <c r="M1243" t="s">
        <v>34</v>
      </c>
      <c r="N1243" t="s">
        <v>770</v>
      </c>
    </row>
    <row r="1244" spans="1:14" x14ac:dyDescent="0.25">
      <c r="A1244" s="18">
        <v>46050</v>
      </c>
      <c r="B1244" t="s">
        <v>289</v>
      </c>
      <c r="C1244" t="s">
        <v>582</v>
      </c>
      <c r="D1244" t="s">
        <v>83</v>
      </c>
      <c r="E1244" t="s">
        <v>583</v>
      </c>
      <c r="F1244" t="s">
        <v>82</v>
      </c>
      <c r="G1244">
        <v>300</v>
      </c>
      <c r="H1244">
        <v>150.876</v>
      </c>
      <c r="I1244">
        <v>-45262.8</v>
      </c>
      <c r="K1244">
        <v>150.876</v>
      </c>
      <c r="L1244">
        <v>-45262.8</v>
      </c>
      <c r="M1244" t="s">
        <v>83</v>
      </c>
      <c r="N1244" t="s">
        <v>582</v>
      </c>
    </row>
    <row r="1245" spans="1:14" x14ac:dyDescent="0.25">
      <c r="A1245" s="18">
        <v>46050</v>
      </c>
      <c r="B1245" t="s">
        <v>289</v>
      </c>
      <c r="C1245" t="s">
        <v>608</v>
      </c>
      <c r="D1245" t="s">
        <v>26</v>
      </c>
      <c r="E1245" t="s">
        <v>27</v>
      </c>
      <c r="F1245" t="s">
        <v>21</v>
      </c>
      <c r="G1245">
        <v>183</v>
      </c>
      <c r="H1245">
        <v>260.2817</v>
      </c>
      <c r="I1245">
        <v>-47631.551099999997</v>
      </c>
      <c r="K1245">
        <v>260.2817</v>
      </c>
      <c r="L1245">
        <v>-47631.551099999997</v>
      </c>
      <c r="M1245" t="s">
        <v>26</v>
      </c>
      <c r="N1245" t="s">
        <v>608</v>
      </c>
    </row>
    <row r="1246" spans="1:14" x14ac:dyDescent="0.25">
      <c r="A1246" s="18">
        <v>46050</v>
      </c>
      <c r="B1246" t="s">
        <v>289</v>
      </c>
      <c r="C1246" t="s">
        <v>742</v>
      </c>
      <c r="D1246" t="s">
        <v>50</v>
      </c>
      <c r="E1246" t="s">
        <v>743</v>
      </c>
      <c r="F1246" t="s">
        <v>21</v>
      </c>
      <c r="G1246">
        <v>4200</v>
      </c>
      <c r="H1246">
        <v>11.700799999999999</v>
      </c>
      <c r="I1246">
        <v>-49143.359999999993</v>
      </c>
      <c r="K1246">
        <v>11.700799999999999</v>
      </c>
      <c r="L1246">
        <v>-49143.359999999993</v>
      </c>
      <c r="M1246" t="s">
        <v>50</v>
      </c>
      <c r="N1246" t="s">
        <v>742</v>
      </c>
    </row>
    <row r="1247" spans="1:14" x14ac:dyDescent="0.25">
      <c r="A1247" s="18">
        <v>46050</v>
      </c>
      <c r="B1247" t="s">
        <v>319</v>
      </c>
      <c r="C1247" t="s">
        <v>311</v>
      </c>
      <c r="D1247" t="s">
        <v>312</v>
      </c>
      <c r="E1247" t="s">
        <v>313</v>
      </c>
      <c r="F1247" t="s">
        <v>21</v>
      </c>
      <c r="G1247">
        <v>-836</v>
      </c>
      <c r="H1247">
        <v>303.74090000000001</v>
      </c>
      <c r="I1247">
        <v>253927.39240000001</v>
      </c>
      <c r="K1247">
        <v>303.74090000000001</v>
      </c>
      <c r="L1247">
        <v>253927.39240000001</v>
      </c>
      <c r="M1247" t="s">
        <v>312</v>
      </c>
      <c r="N1247" t="s">
        <v>311</v>
      </c>
    </row>
    <row r="1248" spans="1:14" x14ac:dyDescent="0.25">
      <c r="A1248" s="18">
        <v>46050</v>
      </c>
      <c r="B1248" t="s">
        <v>289</v>
      </c>
      <c r="C1248" t="s">
        <v>493</v>
      </c>
      <c r="D1248" t="s">
        <v>28</v>
      </c>
      <c r="E1248" t="s">
        <v>29</v>
      </c>
      <c r="F1248" t="s">
        <v>21</v>
      </c>
      <c r="G1248">
        <v>213</v>
      </c>
      <c r="H1248">
        <v>236.0487</v>
      </c>
      <c r="I1248">
        <v>-50278.373099999997</v>
      </c>
      <c r="K1248">
        <v>236.0487</v>
      </c>
      <c r="L1248">
        <v>-50278.373099999997</v>
      </c>
      <c r="M1248" t="s">
        <v>28</v>
      </c>
      <c r="N1248" t="s">
        <v>493</v>
      </c>
    </row>
    <row r="1249" spans="1:14" x14ac:dyDescent="0.25">
      <c r="A1249" s="18">
        <v>46050</v>
      </c>
      <c r="B1249" t="s">
        <v>289</v>
      </c>
      <c r="C1249" t="s">
        <v>452</v>
      </c>
      <c r="D1249" t="s">
        <v>453</v>
      </c>
      <c r="E1249" t="s">
        <v>454</v>
      </c>
      <c r="F1249" t="s">
        <v>162</v>
      </c>
      <c r="G1249">
        <v>2830</v>
      </c>
      <c r="H1249">
        <v>182.35</v>
      </c>
      <c r="I1249">
        <v>-516050.5</v>
      </c>
      <c r="K1249">
        <v>182.35</v>
      </c>
      <c r="L1249">
        <v>-516050.5</v>
      </c>
      <c r="M1249" t="s">
        <v>453</v>
      </c>
      <c r="N1249" t="s">
        <v>452</v>
      </c>
    </row>
    <row r="1250" spans="1:14" x14ac:dyDescent="0.25">
      <c r="A1250" s="18">
        <v>46050</v>
      </c>
      <c r="B1250" t="s">
        <v>319</v>
      </c>
      <c r="C1250" t="s">
        <v>764</v>
      </c>
      <c r="D1250" t="s">
        <v>765</v>
      </c>
      <c r="E1250" t="s">
        <v>766</v>
      </c>
      <c r="F1250" t="s">
        <v>36</v>
      </c>
      <c r="G1250">
        <v>-2320</v>
      </c>
      <c r="H1250">
        <v>36.945</v>
      </c>
      <c r="I1250">
        <v>85712.4</v>
      </c>
      <c r="K1250">
        <v>36.945</v>
      </c>
      <c r="L1250">
        <v>85712.4</v>
      </c>
      <c r="M1250" t="s">
        <v>765</v>
      </c>
      <c r="N1250" t="s">
        <v>764</v>
      </c>
    </row>
    <row r="1251" spans="1:14" x14ac:dyDescent="0.25">
      <c r="A1251" s="18">
        <v>46051</v>
      </c>
      <c r="B1251" t="s">
        <v>319</v>
      </c>
      <c r="C1251" t="s">
        <v>746</v>
      </c>
      <c r="D1251" t="s">
        <v>52</v>
      </c>
      <c r="E1251" t="s">
        <v>53</v>
      </c>
      <c r="F1251" t="s">
        <v>21</v>
      </c>
      <c r="G1251">
        <v>-4328</v>
      </c>
      <c r="H1251">
        <v>58.063000000000002</v>
      </c>
      <c r="I1251">
        <v>251296.66400000002</v>
      </c>
      <c r="K1251">
        <v>58.063000000000002</v>
      </c>
      <c r="L1251">
        <v>251296.66400000002</v>
      </c>
      <c r="M1251" t="s">
        <v>52</v>
      </c>
      <c r="N1251" t="s">
        <v>746</v>
      </c>
    </row>
    <row r="1252" spans="1:14" x14ac:dyDescent="0.25">
      <c r="A1252" s="18">
        <v>46051</v>
      </c>
      <c r="B1252" t="s">
        <v>319</v>
      </c>
      <c r="C1252" t="s">
        <v>301</v>
      </c>
      <c r="D1252" t="s">
        <v>120</v>
      </c>
      <c r="E1252" t="s">
        <v>363</v>
      </c>
      <c r="F1252" t="s">
        <v>21</v>
      </c>
      <c r="G1252">
        <v>-370</v>
      </c>
      <c r="H1252">
        <v>420.70460000000003</v>
      </c>
      <c r="I1252">
        <v>155660.70200000002</v>
      </c>
      <c r="K1252">
        <v>420.70460000000003</v>
      </c>
      <c r="L1252">
        <v>155660.70200000002</v>
      </c>
      <c r="M1252" t="s">
        <v>120</v>
      </c>
      <c r="N1252" t="s">
        <v>301</v>
      </c>
    </row>
    <row r="1253" spans="1:14" x14ac:dyDescent="0.25">
      <c r="A1253" s="18">
        <v>46051</v>
      </c>
      <c r="B1253" t="s">
        <v>289</v>
      </c>
      <c r="C1253" t="s">
        <v>744</v>
      </c>
      <c r="D1253" t="s">
        <v>56</v>
      </c>
      <c r="E1253" t="s">
        <v>745</v>
      </c>
      <c r="F1253" t="s">
        <v>21</v>
      </c>
      <c r="G1253">
        <v>4550</v>
      </c>
      <c r="H1253">
        <v>30.69</v>
      </c>
      <c r="I1253">
        <v>-139639.5</v>
      </c>
      <c r="K1253">
        <v>30.69</v>
      </c>
      <c r="L1253">
        <v>-139639.5</v>
      </c>
      <c r="M1253" t="s">
        <v>56</v>
      </c>
      <c r="N1253" t="s">
        <v>744</v>
      </c>
    </row>
    <row r="1254" spans="1:14" x14ac:dyDescent="0.25">
      <c r="A1254" s="18">
        <v>46051</v>
      </c>
      <c r="B1254" t="s">
        <v>319</v>
      </c>
      <c r="C1254" t="s">
        <v>619</v>
      </c>
      <c r="D1254" t="s">
        <v>620</v>
      </c>
      <c r="E1254" t="s">
        <v>621</v>
      </c>
      <c r="F1254" t="s">
        <v>21</v>
      </c>
      <c r="G1254">
        <v>-280</v>
      </c>
      <c r="H1254">
        <v>256.95</v>
      </c>
      <c r="I1254">
        <v>71946</v>
      </c>
      <c r="K1254">
        <v>256.95</v>
      </c>
      <c r="L1254">
        <v>71946</v>
      </c>
      <c r="M1254" t="s">
        <v>620</v>
      </c>
      <c r="N1254" t="s">
        <v>619</v>
      </c>
    </row>
    <row r="1255" spans="1:14" x14ac:dyDescent="0.25">
      <c r="A1255" s="18">
        <v>46051</v>
      </c>
      <c r="B1255" t="s">
        <v>319</v>
      </c>
      <c r="C1255" t="s">
        <v>641</v>
      </c>
      <c r="D1255" t="s">
        <v>37</v>
      </c>
      <c r="E1255" t="s">
        <v>38</v>
      </c>
      <c r="F1255" t="s">
        <v>36</v>
      </c>
      <c r="G1255">
        <v>-1610</v>
      </c>
      <c r="H1255">
        <v>26.65</v>
      </c>
      <c r="I1255">
        <v>42906.5</v>
      </c>
      <c r="K1255">
        <v>26.65</v>
      </c>
      <c r="L1255">
        <v>42906.5</v>
      </c>
      <c r="M1255" t="s">
        <v>37</v>
      </c>
      <c r="N1255" t="s">
        <v>641</v>
      </c>
    </row>
    <row r="1256" spans="1:14" x14ac:dyDescent="0.25">
      <c r="A1256" s="18">
        <v>46051</v>
      </c>
      <c r="B1256" t="s">
        <v>319</v>
      </c>
      <c r="C1256" t="s">
        <v>608</v>
      </c>
      <c r="D1256" t="s">
        <v>26</v>
      </c>
      <c r="E1256" t="s">
        <v>27</v>
      </c>
      <c r="F1256" t="s">
        <v>21</v>
      </c>
      <c r="G1256">
        <v>-263</v>
      </c>
      <c r="H1256">
        <v>267.53289999999998</v>
      </c>
      <c r="I1256">
        <v>70361.152699999991</v>
      </c>
      <c r="K1256">
        <v>267.53289999999998</v>
      </c>
      <c r="L1256">
        <v>70361.152699999991</v>
      </c>
      <c r="M1256" t="s">
        <v>26</v>
      </c>
      <c r="N1256" t="s">
        <v>608</v>
      </c>
    </row>
    <row r="1257" spans="1:14" x14ac:dyDescent="0.25">
      <c r="A1257" s="18">
        <v>46051</v>
      </c>
      <c r="B1257" t="s">
        <v>319</v>
      </c>
      <c r="C1257" t="s">
        <v>331</v>
      </c>
      <c r="D1257" t="s">
        <v>332</v>
      </c>
      <c r="E1257" t="s">
        <v>333</v>
      </c>
      <c r="F1257" t="s">
        <v>21</v>
      </c>
      <c r="G1257">
        <v>-55</v>
      </c>
      <c r="H1257">
        <v>1280.9018000000001</v>
      </c>
      <c r="I1257">
        <v>70449.599000000002</v>
      </c>
      <c r="K1257">
        <v>1280.9018000000001</v>
      </c>
      <c r="L1257">
        <v>70449.599000000002</v>
      </c>
      <c r="M1257" t="s">
        <v>332</v>
      </c>
      <c r="N1257" t="s">
        <v>331</v>
      </c>
    </row>
    <row r="1258" spans="1:14" x14ac:dyDescent="0.25">
      <c r="A1258" s="18">
        <v>46051</v>
      </c>
      <c r="B1258" t="s">
        <v>289</v>
      </c>
      <c r="C1258" t="s">
        <v>770</v>
      </c>
      <c r="D1258" t="s">
        <v>34</v>
      </c>
      <c r="E1258" t="s">
        <v>35</v>
      </c>
      <c r="F1258" t="s">
        <v>36</v>
      </c>
      <c r="G1258">
        <v>1300</v>
      </c>
      <c r="H1258">
        <v>69.200500000000005</v>
      </c>
      <c r="I1258">
        <v>-89960.650000000009</v>
      </c>
      <c r="K1258">
        <v>69.200500000000005</v>
      </c>
      <c r="L1258">
        <v>-89960.650000000009</v>
      </c>
      <c r="M1258" t="s">
        <v>34</v>
      </c>
      <c r="N1258" t="s">
        <v>770</v>
      </c>
    </row>
    <row r="1259" spans="1:14" x14ac:dyDescent="0.25">
      <c r="A1259" s="18">
        <v>46051</v>
      </c>
      <c r="B1259" t="s">
        <v>319</v>
      </c>
      <c r="C1259" t="s">
        <v>342</v>
      </c>
      <c r="D1259" t="s">
        <v>343</v>
      </c>
      <c r="E1259" t="s">
        <v>282</v>
      </c>
      <c r="F1259" t="s">
        <v>21</v>
      </c>
      <c r="G1259">
        <v>-950</v>
      </c>
      <c r="H1259">
        <v>84.060500000000005</v>
      </c>
      <c r="I1259">
        <v>79857.475000000006</v>
      </c>
      <c r="K1259">
        <v>84.060500000000005</v>
      </c>
      <c r="L1259">
        <v>79857.475000000006</v>
      </c>
      <c r="M1259" t="s">
        <v>343</v>
      </c>
      <c r="N1259" t="s">
        <v>342</v>
      </c>
    </row>
    <row r="1260" spans="1:14" x14ac:dyDescent="0.25">
      <c r="A1260" s="18">
        <v>46051</v>
      </c>
      <c r="B1260" t="s">
        <v>319</v>
      </c>
      <c r="C1260" t="s">
        <v>688</v>
      </c>
      <c r="D1260" t="s">
        <v>689</v>
      </c>
      <c r="E1260" t="s">
        <v>690</v>
      </c>
      <c r="F1260" t="s">
        <v>82</v>
      </c>
      <c r="G1260">
        <v>-750</v>
      </c>
      <c r="H1260">
        <v>60.889899999999997</v>
      </c>
      <c r="I1260">
        <v>45667.424999999996</v>
      </c>
      <c r="K1260">
        <v>60.889899999999997</v>
      </c>
      <c r="L1260">
        <v>45667.424999999996</v>
      </c>
      <c r="M1260" t="s">
        <v>689</v>
      </c>
      <c r="N1260" t="s">
        <v>688</v>
      </c>
    </row>
    <row r="1261" spans="1:14" x14ac:dyDescent="0.25">
      <c r="A1261" s="18">
        <v>46051</v>
      </c>
      <c r="B1261" t="s">
        <v>319</v>
      </c>
      <c r="C1261" t="s">
        <v>742</v>
      </c>
      <c r="D1261" t="s">
        <v>50</v>
      </c>
      <c r="E1261" t="s">
        <v>743</v>
      </c>
      <c r="F1261" t="s">
        <v>21</v>
      </c>
      <c r="G1261">
        <v>-5974</v>
      </c>
      <c r="H1261">
        <v>11.785</v>
      </c>
      <c r="I1261">
        <v>70403.59</v>
      </c>
      <c r="K1261">
        <v>11.785</v>
      </c>
      <c r="L1261">
        <v>70403.59</v>
      </c>
      <c r="M1261" t="s">
        <v>50</v>
      </c>
      <c r="N1261" t="s">
        <v>742</v>
      </c>
    </row>
    <row r="1262" spans="1:14" x14ac:dyDescent="0.25">
      <c r="A1262" s="18">
        <v>46051</v>
      </c>
      <c r="B1262" t="s">
        <v>319</v>
      </c>
      <c r="C1262" t="s">
        <v>452</v>
      </c>
      <c r="D1262" t="s">
        <v>453</v>
      </c>
      <c r="E1262" t="s">
        <v>454</v>
      </c>
      <c r="F1262" t="s">
        <v>162</v>
      </c>
      <c r="G1262">
        <v>-4648</v>
      </c>
      <c r="H1262">
        <v>186.5</v>
      </c>
      <c r="I1262">
        <v>866852</v>
      </c>
      <c r="K1262">
        <v>186.5</v>
      </c>
      <c r="L1262">
        <v>866852</v>
      </c>
      <c r="M1262" t="s">
        <v>453</v>
      </c>
      <c r="N1262" t="s">
        <v>452</v>
      </c>
    </row>
    <row r="1263" spans="1:14" x14ac:dyDescent="0.25">
      <c r="A1263" s="18">
        <v>46051</v>
      </c>
      <c r="B1263" t="s">
        <v>289</v>
      </c>
      <c r="C1263" t="s">
        <v>314</v>
      </c>
      <c r="D1263" t="s">
        <v>315</v>
      </c>
      <c r="E1263" t="s">
        <v>362</v>
      </c>
      <c r="F1263" t="s">
        <v>21</v>
      </c>
      <c r="G1263">
        <v>3560</v>
      </c>
      <c r="H1263">
        <v>28</v>
      </c>
      <c r="I1263">
        <v>-99680</v>
      </c>
      <c r="K1263">
        <v>28</v>
      </c>
      <c r="L1263">
        <v>-99680</v>
      </c>
      <c r="M1263" t="s">
        <v>315</v>
      </c>
      <c r="N1263" t="s">
        <v>314</v>
      </c>
    </row>
    <row r="1264" spans="1:14" x14ac:dyDescent="0.25">
      <c r="A1264" s="18">
        <v>46051</v>
      </c>
      <c r="B1264" t="s">
        <v>319</v>
      </c>
      <c r="C1264" t="s">
        <v>582</v>
      </c>
      <c r="D1264" t="s">
        <v>83</v>
      </c>
      <c r="E1264" t="s">
        <v>583</v>
      </c>
      <c r="F1264" t="s">
        <v>82</v>
      </c>
      <c r="G1264">
        <v>-620</v>
      </c>
      <c r="H1264">
        <v>148.4366</v>
      </c>
      <c r="I1264">
        <v>92030.691999999995</v>
      </c>
      <c r="K1264">
        <v>148.4366</v>
      </c>
      <c r="L1264">
        <v>92030.691999999995</v>
      </c>
      <c r="M1264" t="s">
        <v>83</v>
      </c>
      <c r="N1264" t="s">
        <v>582</v>
      </c>
    </row>
    <row r="1265" spans="1:14" x14ac:dyDescent="0.25">
      <c r="A1265" s="18">
        <v>46051</v>
      </c>
      <c r="B1265" t="s">
        <v>319</v>
      </c>
      <c r="C1265" t="s">
        <v>608</v>
      </c>
      <c r="D1265" t="s">
        <v>26</v>
      </c>
      <c r="E1265" t="s">
        <v>27</v>
      </c>
      <c r="F1265" t="s">
        <v>21</v>
      </c>
      <c r="G1265">
        <v>-376</v>
      </c>
      <c r="H1265">
        <v>266.35509999999999</v>
      </c>
      <c r="I1265">
        <v>100149.51759999999</v>
      </c>
      <c r="K1265">
        <v>266.35509999999999</v>
      </c>
      <c r="L1265">
        <v>100149.51759999999</v>
      </c>
      <c r="M1265" t="s">
        <v>26</v>
      </c>
      <c r="N1265" t="s">
        <v>608</v>
      </c>
    </row>
    <row r="1266" spans="1:14" x14ac:dyDescent="0.25">
      <c r="A1266" s="18">
        <v>46051</v>
      </c>
      <c r="B1266" t="s">
        <v>289</v>
      </c>
      <c r="C1266" t="s">
        <v>314</v>
      </c>
      <c r="D1266" t="s">
        <v>315</v>
      </c>
      <c r="E1266" t="s">
        <v>362</v>
      </c>
      <c r="F1266" t="s">
        <v>21</v>
      </c>
      <c r="G1266">
        <v>1770</v>
      </c>
      <c r="H1266">
        <v>28.035699999999999</v>
      </c>
      <c r="I1266">
        <v>-49623.188999999998</v>
      </c>
      <c r="K1266">
        <v>28.035699999999999</v>
      </c>
      <c r="L1266">
        <v>-49623.188999999998</v>
      </c>
      <c r="M1266" t="s">
        <v>315</v>
      </c>
      <c r="N1266" t="s">
        <v>314</v>
      </c>
    </row>
    <row r="1267" spans="1:14" x14ac:dyDescent="0.25">
      <c r="A1267" s="18">
        <v>46051</v>
      </c>
      <c r="B1267" t="s">
        <v>289</v>
      </c>
      <c r="C1267" t="s">
        <v>670</v>
      </c>
      <c r="D1267" t="s">
        <v>671</v>
      </c>
      <c r="E1267" t="s">
        <v>672</v>
      </c>
      <c r="F1267" t="s">
        <v>21</v>
      </c>
      <c r="G1267">
        <v>384</v>
      </c>
      <c r="H1267">
        <v>133.03749999999999</v>
      </c>
      <c r="I1267">
        <v>-51086.399999999994</v>
      </c>
      <c r="K1267">
        <v>133.03749999999999</v>
      </c>
      <c r="L1267">
        <v>-51086.399999999994</v>
      </c>
      <c r="M1267" t="s">
        <v>671</v>
      </c>
      <c r="N1267" t="s">
        <v>670</v>
      </c>
    </row>
    <row r="1268" spans="1:14" x14ac:dyDescent="0.25">
      <c r="A1268" s="18">
        <v>46051</v>
      </c>
      <c r="B1268" t="s">
        <v>319</v>
      </c>
      <c r="C1268" t="s">
        <v>608</v>
      </c>
      <c r="D1268" t="s">
        <v>26</v>
      </c>
      <c r="E1268" t="s">
        <v>27</v>
      </c>
      <c r="F1268" t="s">
        <v>21</v>
      </c>
      <c r="G1268">
        <v>-262</v>
      </c>
      <c r="H1268">
        <v>264.10000000000002</v>
      </c>
      <c r="I1268">
        <v>69194.200000000012</v>
      </c>
      <c r="K1268">
        <v>264.10000000000002</v>
      </c>
      <c r="L1268">
        <v>69194.200000000012</v>
      </c>
      <c r="M1268" t="s">
        <v>26</v>
      </c>
      <c r="N1268" t="s">
        <v>608</v>
      </c>
    </row>
    <row r="1269" spans="1:14" x14ac:dyDescent="0.25">
      <c r="A1269" s="18">
        <v>46051</v>
      </c>
      <c r="B1269" t="s">
        <v>319</v>
      </c>
      <c r="C1269" t="s">
        <v>582</v>
      </c>
      <c r="D1269" t="s">
        <v>83</v>
      </c>
      <c r="E1269" t="s">
        <v>583</v>
      </c>
      <c r="F1269" t="s">
        <v>82</v>
      </c>
      <c r="G1269">
        <v>-1419</v>
      </c>
      <c r="H1269">
        <v>147.08160000000001</v>
      </c>
      <c r="I1269">
        <v>208708.7904</v>
      </c>
      <c r="K1269">
        <v>147.08160000000001</v>
      </c>
      <c r="L1269">
        <v>208708.7904</v>
      </c>
      <c r="M1269" t="s">
        <v>83</v>
      </c>
      <c r="N1269" t="s">
        <v>582</v>
      </c>
    </row>
    <row r="1270" spans="1:14" x14ac:dyDescent="0.25">
      <c r="A1270" s="18">
        <v>46051</v>
      </c>
      <c r="B1270" t="s">
        <v>289</v>
      </c>
      <c r="C1270" t="s">
        <v>753</v>
      </c>
      <c r="D1270" t="s">
        <v>754</v>
      </c>
      <c r="E1270" t="s">
        <v>276</v>
      </c>
      <c r="F1270" t="s">
        <v>21</v>
      </c>
      <c r="G1270">
        <v>1030</v>
      </c>
      <c r="H1270">
        <v>73.222399999999993</v>
      </c>
      <c r="I1270">
        <v>-75419.072</v>
      </c>
      <c r="K1270">
        <v>73.222399999999993</v>
      </c>
      <c r="L1270">
        <v>-75419.072</v>
      </c>
      <c r="M1270" t="s">
        <v>754</v>
      </c>
      <c r="N1270" t="s">
        <v>753</v>
      </c>
    </row>
    <row r="1271" spans="1:14" x14ac:dyDescent="0.25">
      <c r="A1271" s="18">
        <v>46051</v>
      </c>
      <c r="B1271" t="s">
        <v>289</v>
      </c>
      <c r="C1271" t="s">
        <v>670</v>
      </c>
      <c r="D1271" t="s">
        <v>671</v>
      </c>
      <c r="E1271" t="s">
        <v>672</v>
      </c>
      <c r="F1271" t="s">
        <v>21</v>
      </c>
      <c r="G1271">
        <v>280</v>
      </c>
      <c r="H1271">
        <v>132.9</v>
      </c>
      <c r="I1271">
        <v>-37212</v>
      </c>
      <c r="K1271">
        <v>132.9</v>
      </c>
      <c r="L1271">
        <v>-37212</v>
      </c>
      <c r="M1271" t="s">
        <v>671</v>
      </c>
      <c r="N1271" t="s">
        <v>670</v>
      </c>
    </row>
    <row r="1272" spans="1:14" x14ac:dyDescent="0.25">
      <c r="A1272" s="18">
        <v>46051</v>
      </c>
      <c r="B1272" t="s">
        <v>289</v>
      </c>
      <c r="C1272" t="s">
        <v>771</v>
      </c>
      <c r="D1272" t="s">
        <v>89</v>
      </c>
      <c r="E1272" t="s">
        <v>90</v>
      </c>
      <c r="F1272" t="s">
        <v>21</v>
      </c>
      <c r="G1272">
        <v>300</v>
      </c>
      <c r="H1272">
        <v>121.95</v>
      </c>
      <c r="I1272">
        <v>-36585</v>
      </c>
      <c r="K1272">
        <v>121.95</v>
      </c>
      <c r="L1272">
        <v>-36585</v>
      </c>
      <c r="M1272" t="s">
        <v>89</v>
      </c>
      <c r="N1272" t="s">
        <v>771</v>
      </c>
    </row>
    <row r="1273" spans="1:14" x14ac:dyDescent="0.25">
      <c r="A1273" s="18">
        <v>46051</v>
      </c>
      <c r="B1273" t="s">
        <v>319</v>
      </c>
      <c r="C1273" t="s">
        <v>767</v>
      </c>
      <c r="D1273" t="s">
        <v>768</v>
      </c>
      <c r="E1273" t="s">
        <v>769</v>
      </c>
      <c r="F1273" t="s">
        <v>49</v>
      </c>
      <c r="G1273">
        <v>-944</v>
      </c>
      <c r="H1273">
        <v>241.24809999999999</v>
      </c>
      <c r="I1273">
        <v>227738.2064</v>
      </c>
      <c r="K1273">
        <v>241.24809999999999</v>
      </c>
      <c r="L1273">
        <v>227738.2064</v>
      </c>
      <c r="M1273" t="s">
        <v>768</v>
      </c>
      <c r="N1273" t="s">
        <v>767</v>
      </c>
    </row>
    <row r="1274" spans="1:14" x14ac:dyDescent="0.25">
      <c r="A1274" s="18">
        <v>46051</v>
      </c>
      <c r="B1274" t="s">
        <v>319</v>
      </c>
      <c r="C1274" t="s">
        <v>353</v>
      </c>
      <c r="D1274" t="s">
        <v>122</v>
      </c>
      <c r="E1274" t="s">
        <v>297</v>
      </c>
      <c r="F1274" t="s">
        <v>21</v>
      </c>
      <c r="G1274">
        <v>-520</v>
      </c>
      <c r="H1274">
        <v>309.52</v>
      </c>
      <c r="I1274">
        <v>160950.39999999999</v>
      </c>
      <c r="K1274">
        <v>309.52</v>
      </c>
      <c r="L1274">
        <v>160950.39999999999</v>
      </c>
      <c r="M1274" t="s">
        <v>122</v>
      </c>
      <c r="N1274" t="s">
        <v>353</v>
      </c>
    </row>
    <row r="1275" spans="1:14" x14ac:dyDescent="0.25">
      <c r="A1275" s="18">
        <v>46051</v>
      </c>
      <c r="B1275" t="s">
        <v>319</v>
      </c>
      <c r="C1275" t="s">
        <v>732</v>
      </c>
      <c r="D1275" t="s">
        <v>64</v>
      </c>
      <c r="E1275" t="s">
        <v>65</v>
      </c>
      <c r="F1275" t="s">
        <v>49</v>
      </c>
      <c r="G1275">
        <v>-117</v>
      </c>
      <c r="H1275">
        <v>1038.335</v>
      </c>
      <c r="I1275">
        <v>121485.19500000001</v>
      </c>
      <c r="K1275">
        <v>1038.335</v>
      </c>
      <c r="L1275">
        <v>121485.19500000001</v>
      </c>
      <c r="M1275" t="s">
        <v>64</v>
      </c>
      <c r="N1275" t="s">
        <v>732</v>
      </c>
    </row>
    <row r="1276" spans="1:14" x14ac:dyDescent="0.25">
      <c r="A1276" s="18">
        <v>46051</v>
      </c>
      <c r="B1276" t="s">
        <v>319</v>
      </c>
      <c r="C1276" t="s">
        <v>587</v>
      </c>
      <c r="D1276" t="s">
        <v>588</v>
      </c>
      <c r="E1276" t="s">
        <v>589</v>
      </c>
      <c r="F1276" t="s">
        <v>21</v>
      </c>
      <c r="G1276">
        <v>-6000</v>
      </c>
      <c r="H1276">
        <v>17.13</v>
      </c>
      <c r="I1276">
        <v>102780</v>
      </c>
      <c r="K1276">
        <v>17.13</v>
      </c>
      <c r="L1276">
        <v>102780</v>
      </c>
      <c r="M1276" t="s">
        <v>588</v>
      </c>
      <c r="N1276" t="s">
        <v>587</v>
      </c>
    </row>
    <row r="1277" spans="1:14" x14ac:dyDescent="0.25">
      <c r="A1277" s="18">
        <v>46051</v>
      </c>
      <c r="B1277" t="s">
        <v>319</v>
      </c>
      <c r="C1277" t="s">
        <v>301</v>
      </c>
      <c r="D1277" t="s">
        <v>120</v>
      </c>
      <c r="E1277" t="s">
        <v>363</v>
      </c>
      <c r="F1277" t="s">
        <v>21</v>
      </c>
      <c r="G1277">
        <v>-267</v>
      </c>
      <c r="H1277">
        <v>410.64</v>
      </c>
      <c r="I1277">
        <v>109640.87999999999</v>
      </c>
      <c r="K1277">
        <v>410.64</v>
      </c>
      <c r="L1277">
        <v>109640.87999999999</v>
      </c>
      <c r="M1277" t="s">
        <v>120</v>
      </c>
      <c r="N1277" t="s">
        <v>301</v>
      </c>
    </row>
    <row r="1278" spans="1:14" x14ac:dyDescent="0.25">
      <c r="A1278" s="18">
        <v>46051</v>
      </c>
      <c r="B1278" t="s">
        <v>319</v>
      </c>
      <c r="C1278" t="s">
        <v>301</v>
      </c>
      <c r="D1278" t="s">
        <v>120</v>
      </c>
      <c r="E1278" t="s">
        <v>363</v>
      </c>
      <c r="F1278" t="s">
        <v>21</v>
      </c>
      <c r="G1278">
        <v>-420</v>
      </c>
      <c r="H1278">
        <v>401.02</v>
      </c>
      <c r="I1278">
        <v>168428.4</v>
      </c>
      <c r="K1278">
        <v>401.02</v>
      </c>
      <c r="L1278">
        <v>168428.4</v>
      </c>
      <c r="M1278" t="s">
        <v>120</v>
      </c>
      <c r="N1278" t="s">
        <v>301</v>
      </c>
    </row>
    <row r="1279" spans="1:14" x14ac:dyDescent="0.25">
      <c r="A1279" s="18">
        <v>46051</v>
      </c>
      <c r="B1279" t="s">
        <v>289</v>
      </c>
      <c r="C1279" t="s">
        <v>323</v>
      </c>
      <c r="D1279" t="s">
        <v>39</v>
      </c>
      <c r="E1279" t="s">
        <v>40</v>
      </c>
      <c r="F1279" t="s">
        <v>36</v>
      </c>
      <c r="G1279">
        <v>1055</v>
      </c>
      <c r="H1279">
        <v>38.69</v>
      </c>
      <c r="I1279">
        <v>-40817.949999999997</v>
      </c>
      <c r="K1279">
        <v>38.69</v>
      </c>
      <c r="L1279">
        <v>-40817.949999999997</v>
      </c>
      <c r="M1279" t="s">
        <v>39</v>
      </c>
      <c r="N1279" t="s">
        <v>323</v>
      </c>
    </row>
    <row r="1280" spans="1:14" x14ac:dyDescent="0.25">
      <c r="A1280" s="18">
        <v>46051</v>
      </c>
      <c r="B1280" t="s">
        <v>319</v>
      </c>
      <c r="C1280" t="s">
        <v>489</v>
      </c>
      <c r="D1280" t="s">
        <v>66</v>
      </c>
      <c r="E1280" t="s">
        <v>67</v>
      </c>
      <c r="F1280" t="s">
        <v>49</v>
      </c>
      <c r="G1280">
        <v>-53</v>
      </c>
      <c r="H1280">
        <v>2236.02</v>
      </c>
      <c r="I1280">
        <v>118509.06</v>
      </c>
      <c r="K1280">
        <v>2236.02</v>
      </c>
      <c r="L1280">
        <v>118509.06</v>
      </c>
      <c r="M1280" t="s">
        <v>66</v>
      </c>
      <c r="N1280" t="s">
        <v>489</v>
      </c>
    </row>
    <row r="1281" spans="1:14" x14ac:dyDescent="0.25">
      <c r="A1281" s="18">
        <v>46051</v>
      </c>
      <c r="B1281" t="s">
        <v>289</v>
      </c>
      <c r="C1281" t="s">
        <v>323</v>
      </c>
      <c r="D1281" t="s">
        <v>39</v>
      </c>
      <c r="E1281" t="s">
        <v>40</v>
      </c>
      <c r="F1281" t="s">
        <v>36</v>
      </c>
      <c r="G1281">
        <v>529</v>
      </c>
      <c r="H1281">
        <v>38.294600000000003</v>
      </c>
      <c r="I1281">
        <v>-20257.843400000002</v>
      </c>
      <c r="K1281">
        <v>38.294600000000003</v>
      </c>
      <c r="L1281">
        <v>-20257.843400000002</v>
      </c>
      <c r="M1281" t="s">
        <v>39</v>
      </c>
      <c r="N1281" t="s">
        <v>323</v>
      </c>
    </row>
    <row r="1282" spans="1:14" x14ac:dyDescent="0.25">
      <c r="A1282" s="18">
        <v>46051</v>
      </c>
      <c r="B1282" t="s">
        <v>289</v>
      </c>
      <c r="C1282" t="s">
        <v>764</v>
      </c>
      <c r="D1282" t="s">
        <v>765</v>
      </c>
      <c r="E1282" t="s">
        <v>766</v>
      </c>
      <c r="F1282" t="s">
        <v>36</v>
      </c>
      <c r="G1282">
        <v>1180</v>
      </c>
      <c r="H1282">
        <v>37.8767</v>
      </c>
      <c r="I1282">
        <v>-44694.506000000001</v>
      </c>
      <c r="K1282">
        <v>37.8767</v>
      </c>
      <c r="L1282">
        <v>-44694.506000000001</v>
      </c>
      <c r="M1282" t="s">
        <v>765</v>
      </c>
      <c r="N1282" t="s">
        <v>764</v>
      </c>
    </row>
    <row r="1283" spans="1:14" x14ac:dyDescent="0.25">
      <c r="A1283" s="18">
        <v>46055</v>
      </c>
      <c r="B1283" t="s">
        <v>319</v>
      </c>
      <c r="C1283" t="s">
        <v>328</v>
      </c>
      <c r="D1283" t="s">
        <v>329</v>
      </c>
      <c r="E1283" t="s">
        <v>330</v>
      </c>
      <c r="F1283" t="s">
        <v>21</v>
      </c>
      <c r="G1283">
        <v>-85</v>
      </c>
      <c r="H1283">
        <v>1752</v>
      </c>
      <c r="I1283">
        <v>148920</v>
      </c>
      <c r="K1283">
        <v>1752</v>
      </c>
      <c r="L1283">
        <v>148920</v>
      </c>
      <c r="M1283" t="s">
        <v>329</v>
      </c>
      <c r="N1283" t="s">
        <v>328</v>
      </c>
    </row>
    <row r="1284" spans="1:14" x14ac:dyDescent="0.25">
      <c r="A1284" s="18">
        <v>46055</v>
      </c>
      <c r="B1284" t="s">
        <v>289</v>
      </c>
      <c r="C1284" t="s">
        <v>342</v>
      </c>
      <c r="D1284" t="s">
        <v>343</v>
      </c>
      <c r="E1284" t="s">
        <v>282</v>
      </c>
      <c r="F1284" t="s">
        <v>21</v>
      </c>
      <c r="G1284">
        <v>601</v>
      </c>
      <c r="H1284">
        <v>82.74</v>
      </c>
      <c r="I1284">
        <v>-49726.74</v>
      </c>
      <c r="K1284">
        <v>82.74</v>
      </c>
      <c r="L1284">
        <v>-49726.74</v>
      </c>
      <c r="M1284" t="s">
        <v>343</v>
      </c>
      <c r="N1284" t="s">
        <v>342</v>
      </c>
    </row>
    <row r="1285" spans="1:14" x14ac:dyDescent="0.25">
      <c r="A1285" s="18">
        <v>46055</v>
      </c>
      <c r="B1285" t="s">
        <v>289</v>
      </c>
      <c r="C1285" t="s">
        <v>670</v>
      </c>
      <c r="D1285" t="s">
        <v>671</v>
      </c>
      <c r="E1285" t="s">
        <v>672</v>
      </c>
      <c r="F1285" t="s">
        <v>21</v>
      </c>
      <c r="G1285">
        <v>379</v>
      </c>
      <c r="H1285">
        <v>130.19999999999999</v>
      </c>
      <c r="I1285">
        <v>-49345.799999999996</v>
      </c>
      <c r="K1285">
        <v>130.19999999999999</v>
      </c>
      <c r="L1285">
        <v>-49345.799999999996</v>
      </c>
      <c r="M1285" t="s">
        <v>671</v>
      </c>
      <c r="N1285" t="s">
        <v>670</v>
      </c>
    </row>
    <row r="1286" spans="1:14" x14ac:dyDescent="0.25">
      <c r="A1286" s="18">
        <v>46055</v>
      </c>
      <c r="B1286" t="s">
        <v>319</v>
      </c>
      <c r="C1286" t="s">
        <v>484</v>
      </c>
      <c r="D1286" t="s">
        <v>30</v>
      </c>
      <c r="E1286" t="s">
        <v>31</v>
      </c>
      <c r="F1286" t="s">
        <v>21</v>
      </c>
      <c r="G1286">
        <v>-600</v>
      </c>
      <c r="H1286">
        <v>168.9</v>
      </c>
      <c r="I1286">
        <v>101340</v>
      </c>
      <c r="K1286">
        <v>168.9</v>
      </c>
      <c r="L1286">
        <v>101340</v>
      </c>
      <c r="M1286" t="s">
        <v>30</v>
      </c>
      <c r="N1286" t="s">
        <v>484</v>
      </c>
    </row>
    <row r="1287" spans="1:14" x14ac:dyDescent="0.25">
      <c r="A1287" s="18">
        <v>46055</v>
      </c>
      <c r="B1287" t="s">
        <v>319</v>
      </c>
      <c r="C1287" t="s">
        <v>700</v>
      </c>
      <c r="D1287" t="s">
        <v>68</v>
      </c>
      <c r="E1287" t="s">
        <v>701</v>
      </c>
      <c r="F1287" t="s">
        <v>49</v>
      </c>
      <c r="G1287">
        <v>-634</v>
      </c>
      <c r="H1287">
        <v>112.91</v>
      </c>
      <c r="I1287">
        <v>71584.94</v>
      </c>
      <c r="K1287">
        <v>112.91</v>
      </c>
      <c r="L1287">
        <v>71584.94</v>
      </c>
      <c r="M1287" t="s">
        <v>68</v>
      </c>
      <c r="N1287" t="s">
        <v>700</v>
      </c>
    </row>
    <row r="1288" spans="1:14" x14ac:dyDescent="0.25">
      <c r="A1288" s="18">
        <v>46055</v>
      </c>
      <c r="B1288" t="s">
        <v>289</v>
      </c>
      <c r="C1288" t="s">
        <v>711</v>
      </c>
      <c r="D1288" t="s">
        <v>738</v>
      </c>
      <c r="E1288" t="s">
        <v>713</v>
      </c>
      <c r="F1288" t="s">
        <v>36</v>
      </c>
      <c r="G1288">
        <v>1</v>
      </c>
      <c r="H1288">
        <v>10299.5</v>
      </c>
      <c r="I1288">
        <v>-102995</v>
      </c>
      <c r="K1288">
        <v>10299.5</v>
      </c>
      <c r="L1288">
        <v>-102995</v>
      </c>
      <c r="M1288" t="s">
        <v>738</v>
      </c>
      <c r="N1288" t="s">
        <v>711</v>
      </c>
    </row>
    <row r="1289" spans="1:14" x14ac:dyDescent="0.25">
      <c r="A1289" s="18">
        <v>46056</v>
      </c>
      <c r="B1289" t="s">
        <v>319</v>
      </c>
      <c r="C1289" t="s">
        <v>323</v>
      </c>
      <c r="D1289" t="s">
        <v>39</v>
      </c>
      <c r="E1289" t="s">
        <v>40</v>
      </c>
      <c r="F1289" t="s">
        <v>36</v>
      </c>
      <c r="G1289">
        <v>-1413</v>
      </c>
      <c r="H1289">
        <v>37.585900000000002</v>
      </c>
      <c r="I1289">
        <v>53108.876700000001</v>
      </c>
      <c r="K1289">
        <v>37.585900000000002</v>
      </c>
      <c r="L1289">
        <v>53108.876700000001</v>
      </c>
      <c r="M1289" t="s">
        <v>39</v>
      </c>
      <c r="N1289" t="s">
        <v>323</v>
      </c>
    </row>
    <row r="1290" spans="1:14" x14ac:dyDescent="0.25">
      <c r="A1290" s="18">
        <v>46056</v>
      </c>
      <c r="B1290" t="s">
        <v>319</v>
      </c>
      <c r="C1290" t="s">
        <v>641</v>
      </c>
      <c r="D1290" t="s">
        <v>37</v>
      </c>
      <c r="E1290" t="s">
        <v>38</v>
      </c>
      <c r="F1290" t="s">
        <v>36</v>
      </c>
      <c r="G1290">
        <v>-1669</v>
      </c>
      <c r="H1290">
        <v>22.119399999999999</v>
      </c>
      <c r="I1290">
        <v>36917.278599999998</v>
      </c>
      <c r="K1290">
        <v>22.119399999999999</v>
      </c>
      <c r="L1290">
        <v>36917.278599999998</v>
      </c>
      <c r="M1290" t="s">
        <v>37</v>
      </c>
      <c r="N1290" t="s">
        <v>641</v>
      </c>
    </row>
    <row r="1291" spans="1:14" x14ac:dyDescent="0.25">
      <c r="A1291" s="18">
        <v>46056</v>
      </c>
      <c r="B1291" t="s">
        <v>289</v>
      </c>
      <c r="C1291" t="s">
        <v>479</v>
      </c>
      <c r="D1291" t="s">
        <v>480</v>
      </c>
      <c r="E1291" t="s">
        <v>481</v>
      </c>
      <c r="F1291" t="s">
        <v>21</v>
      </c>
      <c r="G1291">
        <v>269</v>
      </c>
      <c r="H1291">
        <v>197.31729999999999</v>
      </c>
      <c r="I1291">
        <v>-53078.3537</v>
      </c>
      <c r="K1291">
        <v>197.31729999999999</v>
      </c>
      <c r="L1291">
        <v>-53078.3537</v>
      </c>
      <c r="M1291" t="s">
        <v>480</v>
      </c>
      <c r="N1291" t="s">
        <v>479</v>
      </c>
    </row>
    <row r="1292" spans="1:14" x14ac:dyDescent="0.25">
      <c r="A1292" s="18">
        <v>46056</v>
      </c>
      <c r="B1292" t="s">
        <v>319</v>
      </c>
      <c r="C1292" t="s">
        <v>630</v>
      </c>
      <c r="D1292" t="s">
        <v>631</v>
      </c>
      <c r="E1292" t="s">
        <v>632</v>
      </c>
      <c r="F1292" t="s">
        <v>21</v>
      </c>
      <c r="G1292">
        <v>-64200</v>
      </c>
      <c r="H1292">
        <v>2.2982</v>
      </c>
      <c r="I1292">
        <v>147544.44</v>
      </c>
      <c r="K1292">
        <v>2.2982</v>
      </c>
      <c r="L1292">
        <v>147544.44</v>
      </c>
      <c r="M1292" t="s">
        <v>631</v>
      </c>
      <c r="N1292" t="s">
        <v>630</v>
      </c>
    </row>
    <row r="1293" spans="1:14" x14ac:dyDescent="0.25">
      <c r="A1293" s="18">
        <v>46056</v>
      </c>
      <c r="B1293" t="s">
        <v>289</v>
      </c>
      <c r="C1293" t="s">
        <v>314</v>
      </c>
      <c r="D1293" t="s">
        <v>315</v>
      </c>
      <c r="E1293" t="s">
        <v>362</v>
      </c>
      <c r="F1293" t="s">
        <v>21</v>
      </c>
      <c r="G1293">
        <v>5150</v>
      </c>
      <c r="H1293">
        <v>28.839099999999998</v>
      </c>
      <c r="I1293">
        <v>-148521.36499999999</v>
      </c>
      <c r="K1293">
        <v>28.839099999999998</v>
      </c>
      <c r="L1293">
        <v>-148521.36499999999</v>
      </c>
      <c r="M1293" t="s">
        <v>315</v>
      </c>
      <c r="N1293" t="s">
        <v>314</v>
      </c>
    </row>
    <row r="1294" spans="1:14" x14ac:dyDescent="0.25">
      <c r="A1294" s="18">
        <v>46057</v>
      </c>
      <c r="B1294" t="s">
        <v>319</v>
      </c>
      <c r="C1294" t="s">
        <v>294</v>
      </c>
      <c r="D1294" t="s">
        <v>80</v>
      </c>
      <c r="E1294" t="s">
        <v>505</v>
      </c>
      <c r="F1294" t="s">
        <v>82</v>
      </c>
      <c r="G1294">
        <v>-6602</v>
      </c>
      <c r="H1294">
        <v>78.540000000000006</v>
      </c>
      <c r="I1294">
        <v>518521.08</v>
      </c>
      <c r="K1294">
        <v>78.540000000000006</v>
      </c>
      <c r="L1294">
        <v>518521.08</v>
      </c>
      <c r="M1294" t="s">
        <v>80</v>
      </c>
      <c r="N1294" t="s">
        <v>294</v>
      </c>
    </row>
    <row r="1295" spans="1:14" x14ac:dyDescent="0.25">
      <c r="A1295" s="18">
        <v>46057</v>
      </c>
      <c r="B1295" t="s">
        <v>319</v>
      </c>
      <c r="C1295" t="s">
        <v>697</v>
      </c>
      <c r="D1295" t="s">
        <v>698</v>
      </c>
      <c r="E1295" t="s">
        <v>699</v>
      </c>
      <c r="F1295" t="s">
        <v>21</v>
      </c>
      <c r="G1295">
        <v>-3112</v>
      </c>
      <c r="H1295">
        <v>79.400000000000006</v>
      </c>
      <c r="I1295">
        <v>247092.80000000002</v>
      </c>
      <c r="K1295">
        <v>79.400000000000006</v>
      </c>
      <c r="L1295">
        <v>247092.80000000002</v>
      </c>
      <c r="M1295" t="s">
        <v>698</v>
      </c>
      <c r="N1295" t="s">
        <v>697</v>
      </c>
    </row>
    <row r="1296" spans="1:14" x14ac:dyDescent="0.25">
      <c r="A1296" s="18">
        <v>46057</v>
      </c>
      <c r="B1296" t="s">
        <v>319</v>
      </c>
      <c r="C1296" t="s">
        <v>688</v>
      </c>
      <c r="D1296" t="s">
        <v>689</v>
      </c>
      <c r="E1296" t="s">
        <v>690</v>
      </c>
      <c r="F1296" t="s">
        <v>82</v>
      </c>
      <c r="G1296">
        <v>-894</v>
      </c>
      <c r="H1296">
        <v>59.54</v>
      </c>
      <c r="I1296">
        <v>53228.76</v>
      </c>
      <c r="K1296">
        <v>59.54</v>
      </c>
      <c r="L1296">
        <v>53228.76</v>
      </c>
      <c r="M1296" t="s">
        <v>689</v>
      </c>
      <c r="N1296" t="s">
        <v>688</v>
      </c>
    </row>
    <row r="1297" spans="1:14" x14ac:dyDescent="0.25">
      <c r="A1297" s="18">
        <v>46057</v>
      </c>
      <c r="B1297" t="s">
        <v>319</v>
      </c>
      <c r="C1297" t="s">
        <v>761</v>
      </c>
      <c r="D1297" t="s">
        <v>762</v>
      </c>
      <c r="E1297" t="s">
        <v>763</v>
      </c>
      <c r="F1297" t="s">
        <v>82</v>
      </c>
      <c r="G1297">
        <v>-610</v>
      </c>
      <c r="H1297">
        <v>145.19999999999999</v>
      </c>
      <c r="I1297">
        <v>88572</v>
      </c>
      <c r="K1297">
        <v>145.19999999999999</v>
      </c>
      <c r="L1297">
        <v>88572</v>
      </c>
      <c r="M1297" t="s">
        <v>762</v>
      </c>
      <c r="N1297" t="s">
        <v>761</v>
      </c>
    </row>
    <row r="1298" spans="1:14" x14ac:dyDescent="0.25">
      <c r="A1298" s="18">
        <v>46057</v>
      </c>
      <c r="B1298" t="s">
        <v>319</v>
      </c>
      <c r="C1298" t="s">
        <v>641</v>
      </c>
      <c r="D1298" t="s">
        <v>37</v>
      </c>
      <c r="E1298" t="s">
        <v>38</v>
      </c>
      <c r="F1298" t="s">
        <v>36</v>
      </c>
      <c r="G1298">
        <v>-1484</v>
      </c>
      <c r="H1298">
        <v>21.64</v>
      </c>
      <c r="I1298">
        <v>32113.760000000002</v>
      </c>
      <c r="K1298">
        <v>21.64</v>
      </c>
      <c r="L1298">
        <v>32113.760000000002</v>
      </c>
      <c r="M1298" t="s">
        <v>37</v>
      </c>
      <c r="N1298" t="s">
        <v>641</v>
      </c>
    </row>
    <row r="1299" spans="1:14" x14ac:dyDescent="0.25">
      <c r="A1299" s="18">
        <v>46057</v>
      </c>
      <c r="B1299" t="s">
        <v>319</v>
      </c>
      <c r="C1299" t="s">
        <v>764</v>
      </c>
      <c r="D1299" t="s">
        <v>765</v>
      </c>
      <c r="E1299" t="s">
        <v>766</v>
      </c>
      <c r="F1299" t="s">
        <v>36</v>
      </c>
      <c r="G1299">
        <v>-6860</v>
      </c>
      <c r="H1299">
        <v>38.509500000000003</v>
      </c>
      <c r="I1299">
        <v>264175.17000000004</v>
      </c>
      <c r="K1299">
        <v>38.509500000000003</v>
      </c>
      <c r="L1299">
        <v>264175.17000000004</v>
      </c>
      <c r="M1299" t="s">
        <v>765</v>
      </c>
      <c r="N1299" t="s">
        <v>764</v>
      </c>
    </row>
    <row r="1300" spans="1:14" x14ac:dyDescent="0.25">
      <c r="A1300" s="18">
        <v>46057</v>
      </c>
      <c r="B1300" t="s">
        <v>319</v>
      </c>
      <c r="C1300" t="s">
        <v>452</v>
      </c>
      <c r="D1300" t="s">
        <v>453</v>
      </c>
      <c r="E1300" t="s">
        <v>454</v>
      </c>
      <c r="F1300" t="s">
        <v>162</v>
      </c>
      <c r="G1300">
        <v>-8500</v>
      </c>
      <c r="H1300">
        <v>187.92500000000001</v>
      </c>
      <c r="I1300">
        <v>1597362.5</v>
      </c>
      <c r="K1300">
        <v>187.92500000000001</v>
      </c>
      <c r="L1300">
        <v>1597362.5</v>
      </c>
      <c r="M1300" t="s">
        <v>453</v>
      </c>
      <c r="N1300" t="s">
        <v>452</v>
      </c>
    </row>
    <row r="1301" spans="1:14" x14ac:dyDescent="0.25">
      <c r="A1301" s="18">
        <v>46057</v>
      </c>
      <c r="B1301" t="s">
        <v>289</v>
      </c>
      <c r="C1301" t="s">
        <v>342</v>
      </c>
      <c r="D1301" t="s">
        <v>343</v>
      </c>
      <c r="E1301" t="s">
        <v>282</v>
      </c>
      <c r="F1301" t="s">
        <v>21</v>
      </c>
      <c r="G1301">
        <v>1160</v>
      </c>
      <c r="H1301">
        <v>87.455699999999993</v>
      </c>
      <c r="I1301">
        <v>-101448.61199999999</v>
      </c>
      <c r="K1301">
        <v>87.455699999999993</v>
      </c>
      <c r="L1301">
        <v>-101448.61199999999</v>
      </c>
      <c r="M1301" t="s">
        <v>343</v>
      </c>
      <c r="N1301" t="s">
        <v>342</v>
      </c>
    </row>
    <row r="1302" spans="1:14" x14ac:dyDescent="0.25">
      <c r="A1302" s="18">
        <v>46057</v>
      </c>
      <c r="B1302" t="s">
        <v>319</v>
      </c>
      <c r="C1302" t="s">
        <v>484</v>
      </c>
      <c r="D1302" t="s">
        <v>30</v>
      </c>
      <c r="E1302" t="s">
        <v>31</v>
      </c>
      <c r="F1302" t="s">
        <v>21</v>
      </c>
      <c r="G1302">
        <v>-921</v>
      </c>
      <c r="H1302">
        <v>169.601</v>
      </c>
      <c r="I1302">
        <v>156202.52100000001</v>
      </c>
      <c r="K1302">
        <v>169.601</v>
      </c>
      <c r="L1302">
        <v>156202.52100000001</v>
      </c>
      <c r="M1302" t="s">
        <v>30</v>
      </c>
      <c r="N1302" t="s">
        <v>484</v>
      </c>
    </row>
    <row r="1303" spans="1:14" x14ac:dyDescent="0.25">
      <c r="A1303" s="18">
        <v>46057</v>
      </c>
      <c r="B1303" t="s">
        <v>289</v>
      </c>
      <c r="C1303" t="s">
        <v>771</v>
      </c>
      <c r="D1303" t="s">
        <v>89</v>
      </c>
      <c r="E1303" t="s">
        <v>90</v>
      </c>
      <c r="F1303" t="s">
        <v>21</v>
      </c>
      <c r="G1303">
        <v>1219</v>
      </c>
      <c r="H1303">
        <v>122.91330000000001</v>
      </c>
      <c r="I1303">
        <v>-149831.31270000001</v>
      </c>
      <c r="K1303">
        <v>122.91330000000001</v>
      </c>
      <c r="L1303">
        <v>-149831.31270000001</v>
      </c>
      <c r="M1303" t="s">
        <v>89</v>
      </c>
      <c r="N1303" t="s">
        <v>771</v>
      </c>
    </row>
    <row r="1304" spans="1:14" x14ac:dyDescent="0.25">
      <c r="A1304" s="18">
        <v>46057</v>
      </c>
      <c r="B1304" t="s">
        <v>319</v>
      </c>
      <c r="C1304" t="s">
        <v>630</v>
      </c>
      <c r="D1304" t="s">
        <v>631</v>
      </c>
      <c r="E1304" t="s">
        <v>632</v>
      </c>
      <c r="F1304" t="s">
        <v>21</v>
      </c>
      <c r="G1304">
        <v>-66500</v>
      </c>
      <c r="H1304">
        <v>2.2530999999999999</v>
      </c>
      <c r="I1304">
        <v>149831.15</v>
      </c>
      <c r="K1304">
        <v>2.2530999999999999</v>
      </c>
      <c r="L1304">
        <v>149831.15</v>
      </c>
      <c r="M1304" t="s">
        <v>631</v>
      </c>
      <c r="N1304" t="s">
        <v>630</v>
      </c>
    </row>
    <row r="1305" spans="1:14" x14ac:dyDescent="0.25">
      <c r="A1305" s="18">
        <v>46057</v>
      </c>
      <c r="B1305" t="s">
        <v>289</v>
      </c>
      <c r="C1305" t="s">
        <v>714</v>
      </c>
      <c r="D1305" t="s">
        <v>715</v>
      </c>
      <c r="E1305" t="s">
        <v>716</v>
      </c>
      <c r="F1305" t="s">
        <v>21</v>
      </c>
      <c r="G1305">
        <v>3</v>
      </c>
      <c r="H1305">
        <v>6021</v>
      </c>
      <c r="I1305">
        <v>-180630</v>
      </c>
      <c r="K1305">
        <v>6021</v>
      </c>
      <c r="L1305">
        <v>-180630</v>
      </c>
      <c r="M1305" t="s">
        <v>715</v>
      </c>
      <c r="N1305" t="s">
        <v>714</v>
      </c>
    </row>
    <row r="1306" spans="1:14" x14ac:dyDescent="0.25">
      <c r="A1306" s="18">
        <v>46057</v>
      </c>
      <c r="B1306" t="s">
        <v>319</v>
      </c>
      <c r="C1306" t="s">
        <v>697</v>
      </c>
      <c r="D1306" t="s">
        <v>698</v>
      </c>
      <c r="E1306" t="s">
        <v>699</v>
      </c>
      <c r="F1306" t="s">
        <v>21</v>
      </c>
      <c r="G1306">
        <v>-3102</v>
      </c>
      <c r="H1306">
        <v>78.017200000000003</v>
      </c>
      <c r="I1306">
        <v>242009.35440000001</v>
      </c>
      <c r="K1306">
        <v>78.017200000000003</v>
      </c>
      <c r="L1306">
        <v>242009.35440000001</v>
      </c>
      <c r="M1306" t="s">
        <v>698</v>
      </c>
      <c r="N1306" t="s">
        <v>697</v>
      </c>
    </row>
    <row r="1307" spans="1:14" x14ac:dyDescent="0.25">
      <c r="A1307" s="18">
        <v>46057</v>
      </c>
      <c r="B1307" t="s">
        <v>319</v>
      </c>
      <c r="C1307" t="s">
        <v>758</v>
      </c>
      <c r="D1307" t="s">
        <v>759</v>
      </c>
      <c r="E1307" t="s">
        <v>760</v>
      </c>
      <c r="F1307" t="s">
        <v>21</v>
      </c>
      <c r="G1307">
        <v>-1590</v>
      </c>
      <c r="H1307">
        <v>45.328299999999999</v>
      </c>
      <c r="I1307">
        <v>72071.997000000003</v>
      </c>
      <c r="K1307">
        <v>45.328299999999999</v>
      </c>
      <c r="L1307">
        <v>72071.997000000003</v>
      </c>
      <c r="M1307" t="s">
        <v>759</v>
      </c>
      <c r="N1307" t="s">
        <v>758</v>
      </c>
    </row>
    <row r="1308" spans="1:14" x14ac:dyDescent="0.25">
      <c r="A1308" s="18">
        <v>46057</v>
      </c>
      <c r="B1308" t="s">
        <v>289</v>
      </c>
      <c r="C1308" t="s">
        <v>479</v>
      </c>
      <c r="D1308" t="s">
        <v>480</v>
      </c>
      <c r="E1308" t="s">
        <v>481</v>
      </c>
      <c r="F1308" t="s">
        <v>21</v>
      </c>
      <c r="G1308">
        <v>391</v>
      </c>
      <c r="H1308">
        <v>183.3203</v>
      </c>
      <c r="I1308">
        <v>-71678.237300000008</v>
      </c>
      <c r="K1308">
        <v>183.32030000000003</v>
      </c>
      <c r="L1308">
        <v>-71678.237300000008</v>
      </c>
      <c r="M1308" t="s">
        <v>480</v>
      </c>
      <c r="N1308" t="s">
        <v>479</v>
      </c>
    </row>
    <row r="1309" spans="1:14" x14ac:dyDescent="0.25">
      <c r="A1309" s="18">
        <v>46057</v>
      </c>
      <c r="B1309" t="s">
        <v>319</v>
      </c>
      <c r="C1309" t="s">
        <v>770</v>
      </c>
      <c r="D1309" t="s">
        <v>34</v>
      </c>
      <c r="E1309" t="s">
        <v>35</v>
      </c>
      <c r="F1309" t="s">
        <v>36</v>
      </c>
      <c r="G1309">
        <v>-1839</v>
      </c>
      <c r="H1309">
        <v>70.218000000000004</v>
      </c>
      <c r="I1309">
        <v>129130.902</v>
      </c>
      <c r="K1309">
        <v>70.218000000000004</v>
      </c>
      <c r="L1309">
        <v>129130.902</v>
      </c>
      <c r="M1309" t="s">
        <v>34</v>
      </c>
      <c r="N1309" t="s">
        <v>770</v>
      </c>
    </row>
    <row r="1310" spans="1:14" x14ac:dyDescent="0.25">
      <c r="A1310" s="18">
        <v>46057</v>
      </c>
      <c r="B1310" t="s">
        <v>319</v>
      </c>
      <c r="C1310" t="s">
        <v>587</v>
      </c>
      <c r="D1310" t="s">
        <v>588</v>
      </c>
      <c r="E1310" t="s">
        <v>589</v>
      </c>
      <c r="F1310" t="s">
        <v>21</v>
      </c>
      <c r="G1310">
        <v>-5800</v>
      </c>
      <c r="H1310">
        <v>17.0579</v>
      </c>
      <c r="I1310">
        <v>98935.82</v>
      </c>
      <c r="K1310">
        <v>17.0579</v>
      </c>
      <c r="L1310">
        <v>98935.82</v>
      </c>
      <c r="M1310" t="s">
        <v>588</v>
      </c>
      <c r="N1310" t="s">
        <v>587</v>
      </c>
    </row>
    <row r="1311" spans="1:14" x14ac:dyDescent="0.25">
      <c r="A1311" s="18">
        <v>46057</v>
      </c>
      <c r="B1311" t="s">
        <v>319</v>
      </c>
      <c r="C1311" t="s">
        <v>493</v>
      </c>
      <c r="D1311" t="s">
        <v>28</v>
      </c>
      <c r="E1311" t="s">
        <v>29</v>
      </c>
      <c r="F1311" t="s">
        <v>21</v>
      </c>
      <c r="G1311">
        <v>-401</v>
      </c>
      <c r="H1311">
        <v>249.17500000000001</v>
      </c>
      <c r="I1311">
        <v>99919.175000000003</v>
      </c>
      <c r="K1311">
        <v>249.17500000000001</v>
      </c>
      <c r="L1311">
        <v>99919.175000000003</v>
      </c>
      <c r="M1311" t="s">
        <v>28</v>
      </c>
      <c r="N1311" t="s">
        <v>493</v>
      </c>
    </row>
    <row r="1312" spans="1:14" x14ac:dyDescent="0.25">
      <c r="A1312" s="18">
        <v>46057</v>
      </c>
      <c r="B1312" t="s">
        <v>289</v>
      </c>
      <c r="C1312" t="s">
        <v>435</v>
      </c>
      <c r="D1312" t="s">
        <v>99</v>
      </c>
      <c r="E1312" t="s">
        <v>100</v>
      </c>
      <c r="F1312" t="s">
        <v>21</v>
      </c>
      <c r="G1312">
        <v>9020</v>
      </c>
      <c r="H1312">
        <v>10.6919</v>
      </c>
      <c r="I1312">
        <v>-96440.938000000009</v>
      </c>
      <c r="K1312">
        <v>10.6919</v>
      </c>
      <c r="L1312">
        <v>-96440.938000000009</v>
      </c>
      <c r="M1312" t="s">
        <v>99</v>
      </c>
      <c r="N1312" t="s">
        <v>435</v>
      </c>
    </row>
    <row r="1313" spans="1:14" x14ac:dyDescent="0.25">
      <c r="A1313" s="18">
        <v>46057</v>
      </c>
      <c r="B1313" t="s">
        <v>319</v>
      </c>
      <c r="C1313" t="s">
        <v>750</v>
      </c>
      <c r="D1313" t="s">
        <v>751</v>
      </c>
      <c r="E1313" t="s">
        <v>752</v>
      </c>
      <c r="F1313" t="s">
        <v>82</v>
      </c>
      <c r="G1313">
        <v>-77</v>
      </c>
      <c r="H1313">
        <v>615.79740000000004</v>
      </c>
      <c r="I1313">
        <v>47416.399800000007</v>
      </c>
      <c r="K1313">
        <v>615.79740000000004</v>
      </c>
      <c r="L1313">
        <v>47416.399800000007</v>
      </c>
      <c r="M1313" t="s">
        <v>751</v>
      </c>
      <c r="N1313" t="s">
        <v>750</v>
      </c>
    </row>
    <row r="1314" spans="1:14" x14ac:dyDescent="0.25">
      <c r="A1314" s="18">
        <v>46057</v>
      </c>
      <c r="B1314" t="s">
        <v>289</v>
      </c>
      <c r="C1314" t="s">
        <v>714</v>
      </c>
      <c r="D1314" t="s">
        <v>715</v>
      </c>
      <c r="E1314" t="s">
        <v>716</v>
      </c>
      <c r="F1314" t="s">
        <v>21</v>
      </c>
      <c r="G1314">
        <v>2</v>
      </c>
      <c r="H1314">
        <v>5994</v>
      </c>
      <c r="I1314">
        <v>-119880</v>
      </c>
      <c r="K1314">
        <v>5994</v>
      </c>
      <c r="L1314">
        <v>-119880</v>
      </c>
      <c r="M1314" t="s">
        <v>715</v>
      </c>
      <c r="N1314" t="s">
        <v>714</v>
      </c>
    </row>
    <row r="1315" spans="1:14" x14ac:dyDescent="0.25">
      <c r="A1315" s="18">
        <v>46057</v>
      </c>
      <c r="B1315" t="s">
        <v>319</v>
      </c>
      <c r="C1315" t="s">
        <v>328</v>
      </c>
      <c r="D1315" t="s">
        <v>329</v>
      </c>
      <c r="E1315" t="s">
        <v>330</v>
      </c>
      <c r="F1315" t="s">
        <v>21</v>
      </c>
      <c r="G1315">
        <v>-57</v>
      </c>
      <c r="H1315">
        <v>1679.5</v>
      </c>
      <c r="I1315">
        <v>95731.5</v>
      </c>
      <c r="K1315">
        <v>1679.5</v>
      </c>
      <c r="L1315">
        <v>95731.5</v>
      </c>
      <c r="M1315" t="s">
        <v>329</v>
      </c>
      <c r="N1315" t="s">
        <v>328</v>
      </c>
    </row>
    <row r="1316" spans="1:14" x14ac:dyDescent="0.25">
      <c r="A1316" s="18">
        <v>46057</v>
      </c>
      <c r="B1316" t="s">
        <v>289</v>
      </c>
      <c r="C1316" t="s">
        <v>764</v>
      </c>
      <c r="D1316" t="s">
        <v>765</v>
      </c>
      <c r="E1316" t="s">
        <v>766</v>
      </c>
      <c r="F1316" t="s">
        <v>36</v>
      </c>
      <c r="G1316">
        <v>1110</v>
      </c>
      <c r="H1316">
        <v>36.270000000000003</v>
      </c>
      <c r="I1316">
        <v>-40259.700000000004</v>
      </c>
      <c r="K1316">
        <v>36.270000000000003</v>
      </c>
      <c r="L1316">
        <v>-40259.700000000004</v>
      </c>
      <c r="M1316" t="s">
        <v>765</v>
      </c>
      <c r="N1316" t="s">
        <v>764</v>
      </c>
    </row>
    <row r="1317" spans="1:14" x14ac:dyDescent="0.25">
      <c r="A1317" s="18">
        <v>46057</v>
      </c>
      <c r="B1317" t="s">
        <v>319</v>
      </c>
      <c r="C1317" t="s">
        <v>739</v>
      </c>
      <c r="D1317" t="s">
        <v>740</v>
      </c>
      <c r="E1317" t="s">
        <v>741</v>
      </c>
      <c r="F1317" t="s">
        <v>49</v>
      </c>
      <c r="G1317">
        <v>-352</v>
      </c>
      <c r="H1317">
        <v>324.32089999999999</v>
      </c>
      <c r="I1317">
        <v>114160.9568</v>
      </c>
      <c r="K1317">
        <v>324.32089999999999</v>
      </c>
      <c r="L1317">
        <v>114160.9568</v>
      </c>
      <c r="M1317" t="s">
        <v>740</v>
      </c>
      <c r="N1317" t="s">
        <v>739</v>
      </c>
    </row>
    <row r="1318" spans="1:14" x14ac:dyDescent="0.25">
      <c r="A1318" s="18">
        <v>46058</v>
      </c>
      <c r="B1318" t="s">
        <v>289</v>
      </c>
      <c r="C1318" t="s">
        <v>764</v>
      </c>
      <c r="D1318" t="s">
        <v>765</v>
      </c>
      <c r="E1318" t="s">
        <v>766</v>
      </c>
      <c r="F1318" t="s">
        <v>36</v>
      </c>
      <c r="G1318">
        <v>1199</v>
      </c>
      <c r="H1318">
        <v>35.729999999999997</v>
      </c>
      <c r="I1318">
        <v>-42840.27</v>
      </c>
      <c r="K1318">
        <v>35.729999999999997</v>
      </c>
      <c r="L1318">
        <v>-42840.27</v>
      </c>
      <c r="M1318" t="s">
        <v>765</v>
      </c>
      <c r="N1318" t="s">
        <v>764</v>
      </c>
    </row>
    <row r="1319" spans="1:14" x14ac:dyDescent="0.25">
      <c r="A1319" s="18">
        <v>46058</v>
      </c>
      <c r="B1319" t="s">
        <v>319</v>
      </c>
      <c r="C1319" t="s">
        <v>328</v>
      </c>
      <c r="D1319" t="s">
        <v>329</v>
      </c>
      <c r="E1319" t="s">
        <v>330</v>
      </c>
      <c r="F1319" t="s">
        <v>21</v>
      </c>
      <c r="G1319">
        <v>-119</v>
      </c>
      <c r="H1319">
        <v>1582.2331999999999</v>
      </c>
      <c r="I1319">
        <v>188285.75079999998</v>
      </c>
      <c r="K1319">
        <v>1582.2331999999999</v>
      </c>
      <c r="L1319">
        <v>188285.75079999998</v>
      </c>
      <c r="M1319" t="s">
        <v>329</v>
      </c>
      <c r="N1319" t="s">
        <v>328</v>
      </c>
    </row>
    <row r="1320" spans="1:14" x14ac:dyDescent="0.25">
      <c r="A1320" s="18">
        <v>46058</v>
      </c>
      <c r="B1320" t="s">
        <v>289</v>
      </c>
      <c r="C1320" t="s">
        <v>714</v>
      </c>
      <c r="D1320" t="s">
        <v>715</v>
      </c>
      <c r="E1320" t="s">
        <v>716</v>
      </c>
      <c r="F1320" t="s">
        <v>21</v>
      </c>
      <c r="G1320">
        <v>1</v>
      </c>
      <c r="H1320">
        <v>5991</v>
      </c>
      <c r="I1320">
        <v>-59910</v>
      </c>
      <c r="K1320">
        <v>5991</v>
      </c>
      <c r="L1320">
        <v>-59910</v>
      </c>
      <c r="M1320" t="s">
        <v>715</v>
      </c>
      <c r="N1320" t="s">
        <v>714</v>
      </c>
    </row>
    <row r="1321" spans="1:14" x14ac:dyDescent="0.25">
      <c r="A1321" s="18">
        <v>46058</v>
      </c>
      <c r="B1321" t="s">
        <v>319</v>
      </c>
      <c r="C1321" t="s">
        <v>450</v>
      </c>
      <c r="D1321" t="s">
        <v>116</v>
      </c>
      <c r="E1321" t="s">
        <v>451</v>
      </c>
      <c r="F1321" t="s">
        <v>21</v>
      </c>
      <c r="G1321">
        <v>-23900</v>
      </c>
      <c r="H1321">
        <v>6.3579999999999997</v>
      </c>
      <c r="I1321">
        <v>151956.19999999998</v>
      </c>
      <c r="K1321">
        <v>6.3579999999999997</v>
      </c>
      <c r="L1321">
        <v>151956.19999999998</v>
      </c>
      <c r="M1321" t="s">
        <v>116</v>
      </c>
      <c r="N1321" t="s">
        <v>450</v>
      </c>
    </row>
    <row r="1322" spans="1:14" x14ac:dyDescent="0.25">
      <c r="A1322" s="18">
        <v>46058</v>
      </c>
      <c r="B1322" t="s">
        <v>319</v>
      </c>
      <c r="C1322" t="s">
        <v>301</v>
      </c>
      <c r="D1322" t="s">
        <v>120</v>
      </c>
      <c r="E1322" t="s">
        <v>363</v>
      </c>
      <c r="F1322" t="s">
        <v>21</v>
      </c>
      <c r="G1322">
        <v>-263</v>
      </c>
      <c r="H1322">
        <v>378.55329999999998</v>
      </c>
      <c r="I1322">
        <v>99559.517899999992</v>
      </c>
      <c r="K1322">
        <v>378.55329999999998</v>
      </c>
      <c r="L1322">
        <v>99559.517899999992</v>
      </c>
      <c r="M1322" t="s">
        <v>120</v>
      </c>
      <c r="N1322" t="s">
        <v>301</v>
      </c>
    </row>
    <row r="1323" spans="1:14" x14ac:dyDescent="0.25">
      <c r="A1323" s="18">
        <v>46058</v>
      </c>
      <c r="B1323" t="s">
        <v>289</v>
      </c>
      <c r="C1323" t="s">
        <v>711</v>
      </c>
      <c r="D1323" t="s">
        <v>738</v>
      </c>
      <c r="E1323" t="s">
        <v>713</v>
      </c>
      <c r="F1323" t="s">
        <v>36</v>
      </c>
      <c r="G1323">
        <v>1</v>
      </c>
      <c r="H1323">
        <v>10342.5</v>
      </c>
      <c r="I1323">
        <v>-103425</v>
      </c>
      <c r="K1323">
        <v>10342.5</v>
      </c>
      <c r="L1323">
        <v>-103425</v>
      </c>
      <c r="M1323" t="s">
        <v>738</v>
      </c>
      <c r="N1323" t="s">
        <v>711</v>
      </c>
    </row>
    <row r="1324" spans="1:14" x14ac:dyDescent="0.25">
      <c r="A1324" s="18">
        <v>46058</v>
      </c>
      <c r="B1324" t="s">
        <v>289</v>
      </c>
      <c r="C1324" t="s">
        <v>714</v>
      </c>
      <c r="D1324" t="s">
        <v>715</v>
      </c>
      <c r="E1324" t="s">
        <v>716</v>
      </c>
      <c r="F1324" t="s">
        <v>21</v>
      </c>
      <c r="G1324">
        <v>4</v>
      </c>
      <c r="H1324">
        <v>5985</v>
      </c>
      <c r="I1324">
        <v>-239400</v>
      </c>
      <c r="K1324">
        <v>5985</v>
      </c>
      <c r="L1324">
        <v>-239400</v>
      </c>
      <c r="M1324" t="s">
        <v>715</v>
      </c>
      <c r="N1324" t="s">
        <v>714</v>
      </c>
    </row>
    <row r="1325" spans="1:14" x14ac:dyDescent="0.25">
      <c r="A1325" s="18">
        <v>46058</v>
      </c>
      <c r="B1325" t="s">
        <v>319</v>
      </c>
      <c r="C1325" t="s">
        <v>450</v>
      </c>
      <c r="D1325" t="s">
        <v>116</v>
      </c>
      <c r="E1325" t="s">
        <v>451</v>
      </c>
      <c r="F1325" t="s">
        <v>21</v>
      </c>
      <c r="G1325">
        <v>-32000</v>
      </c>
      <c r="H1325">
        <v>6.3330000000000002</v>
      </c>
      <c r="I1325">
        <v>202656</v>
      </c>
      <c r="K1325">
        <v>6.3330000000000002</v>
      </c>
      <c r="L1325">
        <v>202656</v>
      </c>
      <c r="M1325" t="s">
        <v>116</v>
      </c>
      <c r="N1325" t="s">
        <v>450</v>
      </c>
    </row>
    <row r="1326" spans="1:14" x14ac:dyDescent="0.25">
      <c r="A1326" s="18">
        <v>46058</v>
      </c>
      <c r="B1326" t="s">
        <v>289</v>
      </c>
      <c r="C1326" t="s">
        <v>771</v>
      </c>
      <c r="D1326" t="s">
        <v>89</v>
      </c>
      <c r="E1326" t="s">
        <v>90</v>
      </c>
      <c r="F1326" t="s">
        <v>21</v>
      </c>
      <c r="G1326">
        <v>825</v>
      </c>
      <c r="H1326">
        <v>120.5487</v>
      </c>
      <c r="I1326">
        <v>-99452.677499999991</v>
      </c>
      <c r="K1326">
        <v>120.54869999999998</v>
      </c>
      <c r="L1326">
        <v>-99452.677499999991</v>
      </c>
      <c r="M1326" t="s">
        <v>89</v>
      </c>
      <c r="N1326" t="s">
        <v>771</v>
      </c>
    </row>
    <row r="1327" spans="1:14" x14ac:dyDescent="0.25">
      <c r="A1327" s="18">
        <v>46058</v>
      </c>
      <c r="B1327" t="s">
        <v>289</v>
      </c>
      <c r="C1327" t="s">
        <v>758</v>
      </c>
      <c r="D1327" t="s">
        <v>759</v>
      </c>
      <c r="E1327" t="s">
        <v>760</v>
      </c>
      <c r="F1327" t="s">
        <v>21</v>
      </c>
      <c r="G1327">
        <v>1109</v>
      </c>
      <c r="H1327">
        <v>45.832500000000003</v>
      </c>
      <c r="I1327">
        <v>-50828.2425</v>
      </c>
      <c r="K1327">
        <v>45.832500000000003</v>
      </c>
      <c r="L1327">
        <v>-50828.2425</v>
      </c>
      <c r="M1327" t="s">
        <v>759</v>
      </c>
      <c r="N1327" t="s">
        <v>758</v>
      </c>
    </row>
    <row r="1328" spans="1:14" x14ac:dyDescent="0.25">
      <c r="A1328" s="18">
        <v>46058</v>
      </c>
      <c r="B1328" t="s">
        <v>289</v>
      </c>
      <c r="C1328" t="s">
        <v>342</v>
      </c>
      <c r="D1328" t="s">
        <v>343</v>
      </c>
      <c r="E1328" t="s">
        <v>282</v>
      </c>
      <c r="F1328" t="s">
        <v>21</v>
      </c>
      <c r="G1328">
        <v>1150</v>
      </c>
      <c r="H1328">
        <v>86.82</v>
      </c>
      <c r="I1328">
        <v>-99842.999999999985</v>
      </c>
      <c r="K1328">
        <v>86.82</v>
      </c>
      <c r="L1328">
        <v>-99842.999999999985</v>
      </c>
      <c r="M1328" t="s">
        <v>343</v>
      </c>
      <c r="N1328" t="s">
        <v>342</v>
      </c>
    </row>
    <row r="1329" spans="1:14" x14ac:dyDescent="0.25">
      <c r="A1329" s="18">
        <v>46058</v>
      </c>
      <c r="B1329" t="s">
        <v>289</v>
      </c>
      <c r="C1329" t="s">
        <v>320</v>
      </c>
      <c r="D1329" t="s">
        <v>321</v>
      </c>
      <c r="E1329" t="s">
        <v>322</v>
      </c>
      <c r="F1329" t="s">
        <v>36</v>
      </c>
      <c r="G1329">
        <v>2720</v>
      </c>
      <c r="H1329">
        <v>15.55</v>
      </c>
      <c r="I1329">
        <v>-42296</v>
      </c>
      <c r="K1329">
        <v>15.55</v>
      </c>
      <c r="L1329">
        <v>-42296</v>
      </c>
      <c r="M1329" t="s">
        <v>321</v>
      </c>
      <c r="N1329" t="s">
        <v>320</v>
      </c>
    </row>
    <row r="1330" spans="1:14" x14ac:dyDescent="0.25">
      <c r="A1330" s="18">
        <v>46058</v>
      </c>
      <c r="B1330" t="s">
        <v>319</v>
      </c>
      <c r="C1330" t="s">
        <v>450</v>
      </c>
      <c r="D1330" t="s">
        <v>116</v>
      </c>
      <c r="E1330" t="s">
        <v>451</v>
      </c>
      <c r="F1330" t="s">
        <v>21</v>
      </c>
      <c r="G1330">
        <v>-16000</v>
      </c>
      <c r="H1330">
        <v>6.3470000000000004</v>
      </c>
      <c r="I1330">
        <v>101552</v>
      </c>
      <c r="K1330">
        <v>6.3470000000000004</v>
      </c>
      <c r="L1330">
        <v>101552</v>
      </c>
      <c r="M1330" t="s">
        <v>116</v>
      </c>
      <c r="N1330" t="s">
        <v>450</v>
      </c>
    </row>
    <row r="1331" spans="1:14" x14ac:dyDescent="0.25">
      <c r="A1331" s="18">
        <v>46058</v>
      </c>
      <c r="B1331" t="s">
        <v>319</v>
      </c>
      <c r="C1331" t="s">
        <v>742</v>
      </c>
      <c r="D1331" t="s">
        <v>50</v>
      </c>
      <c r="E1331" t="s">
        <v>743</v>
      </c>
      <c r="F1331" t="s">
        <v>21</v>
      </c>
      <c r="G1331">
        <v>-16290</v>
      </c>
      <c r="H1331">
        <v>12.322800000000001</v>
      </c>
      <c r="I1331">
        <v>200738.41200000001</v>
      </c>
      <c r="K1331">
        <v>12.322800000000001</v>
      </c>
      <c r="L1331">
        <v>200738.41200000001</v>
      </c>
      <c r="M1331" t="s">
        <v>50</v>
      </c>
      <c r="N1331" t="s">
        <v>742</v>
      </c>
    </row>
    <row r="1332" spans="1:14" x14ac:dyDescent="0.25">
      <c r="A1332" s="18">
        <v>46058</v>
      </c>
      <c r="B1332" t="s">
        <v>319</v>
      </c>
      <c r="C1332" t="s">
        <v>770</v>
      </c>
      <c r="D1332" t="s">
        <v>34</v>
      </c>
      <c r="E1332" t="s">
        <v>35</v>
      </c>
      <c r="F1332" t="s">
        <v>36</v>
      </c>
      <c r="G1332">
        <v>-1240</v>
      </c>
      <c r="H1332">
        <v>68.745000000000005</v>
      </c>
      <c r="I1332">
        <v>85243.8</v>
      </c>
      <c r="K1332">
        <v>68.745000000000005</v>
      </c>
      <c r="L1332">
        <v>85243.8</v>
      </c>
      <c r="M1332" t="s">
        <v>34</v>
      </c>
      <c r="N1332" t="s">
        <v>770</v>
      </c>
    </row>
    <row r="1333" spans="1:14" x14ac:dyDescent="0.25">
      <c r="A1333" s="18">
        <v>46058</v>
      </c>
      <c r="B1333" t="s">
        <v>319</v>
      </c>
      <c r="C1333" t="s">
        <v>290</v>
      </c>
      <c r="D1333" t="s">
        <v>45</v>
      </c>
      <c r="E1333" t="s">
        <v>46</v>
      </c>
      <c r="F1333" t="s">
        <v>21</v>
      </c>
      <c r="G1333">
        <v>-3259</v>
      </c>
      <c r="H1333">
        <v>45.869300000000003</v>
      </c>
      <c r="I1333">
        <v>149488.04870000001</v>
      </c>
      <c r="K1333">
        <v>45.869300000000003</v>
      </c>
      <c r="L1333">
        <v>149488.04870000001</v>
      </c>
      <c r="M1333" t="s">
        <v>45</v>
      </c>
      <c r="N1333" t="s">
        <v>290</v>
      </c>
    </row>
    <row r="1334" spans="1:14" x14ac:dyDescent="0.25">
      <c r="A1334" s="18">
        <v>46058</v>
      </c>
      <c r="B1334" t="s">
        <v>289</v>
      </c>
      <c r="C1334" t="s">
        <v>771</v>
      </c>
      <c r="D1334" t="s">
        <v>89</v>
      </c>
      <c r="E1334" t="s">
        <v>90</v>
      </c>
      <c r="F1334" t="s">
        <v>21</v>
      </c>
      <c r="G1334">
        <v>412</v>
      </c>
      <c r="H1334">
        <v>119.9</v>
      </c>
      <c r="I1334">
        <v>-49398.8</v>
      </c>
      <c r="K1334">
        <v>119.9</v>
      </c>
      <c r="L1334">
        <v>-49398.8</v>
      </c>
      <c r="M1334" t="s">
        <v>89</v>
      </c>
      <c r="N1334" t="s">
        <v>771</v>
      </c>
    </row>
    <row r="1335" spans="1:14" x14ac:dyDescent="0.25">
      <c r="A1335" s="18">
        <v>46058</v>
      </c>
      <c r="B1335" t="s">
        <v>289</v>
      </c>
      <c r="C1335" t="s">
        <v>314</v>
      </c>
      <c r="D1335" t="s">
        <v>315</v>
      </c>
      <c r="E1335" t="s">
        <v>362</v>
      </c>
      <c r="F1335" t="s">
        <v>21</v>
      </c>
      <c r="G1335">
        <v>2599</v>
      </c>
      <c r="H1335">
        <v>28.25</v>
      </c>
      <c r="I1335">
        <v>-73421.75</v>
      </c>
      <c r="K1335">
        <v>28.25</v>
      </c>
      <c r="L1335">
        <v>-73421.75</v>
      </c>
      <c r="M1335" t="s">
        <v>315</v>
      </c>
      <c r="N1335" t="s">
        <v>314</v>
      </c>
    </row>
    <row r="1336" spans="1:14" x14ac:dyDescent="0.25">
      <c r="A1336" s="18">
        <v>46058</v>
      </c>
      <c r="B1336" t="s">
        <v>289</v>
      </c>
      <c r="C1336" t="s">
        <v>755</v>
      </c>
      <c r="D1336" t="s">
        <v>756</v>
      </c>
      <c r="E1336" t="s">
        <v>757</v>
      </c>
      <c r="F1336" t="s">
        <v>49</v>
      </c>
      <c r="G1336">
        <v>383</v>
      </c>
      <c r="H1336">
        <v>306.08</v>
      </c>
      <c r="I1336">
        <v>-117228.64</v>
      </c>
      <c r="K1336">
        <v>306.08</v>
      </c>
      <c r="L1336">
        <v>-117228.64</v>
      </c>
      <c r="M1336" t="s">
        <v>756</v>
      </c>
      <c r="N1336" t="s">
        <v>755</v>
      </c>
    </row>
    <row r="1337" spans="1:14" x14ac:dyDescent="0.25">
      <c r="A1337" s="18">
        <v>46059</v>
      </c>
      <c r="B1337" t="s">
        <v>289</v>
      </c>
      <c r="C1337" t="s">
        <v>328</v>
      </c>
      <c r="D1337" t="s">
        <v>329</v>
      </c>
      <c r="E1337" t="s">
        <v>330</v>
      </c>
      <c r="F1337" t="s">
        <v>21</v>
      </c>
      <c r="G1337">
        <v>30</v>
      </c>
      <c r="H1337">
        <v>1571</v>
      </c>
      <c r="I1337">
        <v>-47130</v>
      </c>
      <c r="K1337">
        <v>1571</v>
      </c>
      <c r="L1337">
        <v>-47130</v>
      </c>
      <c r="M1337" t="s">
        <v>329</v>
      </c>
      <c r="N1337" t="s">
        <v>328</v>
      </c>
    </row>
    <row r="1338" spans="1:14" x14ac:dyDescent="0.25">
      <c r="A1338" s="18">
        <v>46059</v>
      </c>
      <c r="B1338" t="s">
        <v>289</v>
      </c>
      <c r="C1338" t="s">
        <v>753</v>
      </c>
      <c r="D1338" t="s">
        <v>754</v>
      </c>
      <c r="E1338" t="s">
        <v>276</v>
      </c>
      <c r="F1338" t="s">
        <v>21</v>
      </c>
      <c r="G1338">
        <v>659</v>
      </c>
      <c r="H1338">
        <v>68.544200000000004</v>
      </c>
      <c r="I1338">
        <v>-45170.627800000002</v>
      </c>
      <c r="K1338">
        <v>68.544200000000004</v>
      </c>
      <c r="L1338">
        <v>-45170.627800000002</v>
      </c>
      <c r="M1338" t="s">
        <v>754</v>
      </c>
      <c r="N1338" t="s">
        <v>753</v>
      </c>
    </row>
    <row r="1339" spans="1:14" x14ac:dyDescent="0.25">
      <c r="A1339" s="18">
        <v>46059</v>
      </c>
      <c r="B1339" t="s">
        <v>289</v>
      </c>
      <c r="C1339" t="s">
        <v>316</v>
      </c>
      <c r="D1339" t="s">
        <v>317</v>
      </c>
      <c r="E1339" t="s">
        <v>274</v>
      </c>
      <c r="F1339" t="s">
        <v>21</v>
      </c>
      <c r="G1339">
        <v>800</v>
      </c>
      <c r="H1339">
        <v>61.124600000000001</v>
      </c>
      <c r="I1339">
        <v>-48899.68</v>
      </c>
      <c r="K1339">
        <v>61.124600000000001</v>
      </c>
      <c r="L1339">
        <v>-48899.68</v>
      </c>
      <c r="M1339" t="s">
        <v>317</v>
      </c>
      <c r="N1339" t="s">
        <v>316</v>
      </c>
    </row>
    <row r="1340" spans="1:14" x14ac:dyDescent="0.25">
      <c r="A1340" s="18">
        <v>46059</v>
      </c>
      <c r="B1340" t="s">
        <v>319</v>
      </c>
      <c r="C1340" t="s">
        <v>630</v>
      </c>
      <c r="D1340" t="s">
        <v>631</v>
      </c>
      <c r="E1340" t="s">
        <v>632</v>
      </c>
      <c r="F1340" t="s">
        <v>21</v>
      </c>
      <c r="G1340">
        <v>-67000</v>
      </c>
      <c r="H1340">
        <v>2.1797</v>
      </c>
      <c r="I1340">
        <v>146039.9</v>
      </c>
      <c r="K1340">
        <v>2.1797</v>
      </c>
      <c r="L1340">
        <v>146039.9</v>
      </c>
      <c r="M1340" t="s">
        <v>631</v>
      </c>
      <c r="N1340" t="s">
        <v>630</v>
      </c>
    </row>
    <row r="1341" spans="1:14" x14ac:dyDescent="0.25">
      <c r="A1341" s="18">
        <v>46059</v>
      </c>
      <c r="B1341" t="s">
        <v>289</v>
      </c>
      <c r="C1341" t="s">
        <v>328</v>
      </c>
      <c r="D1341" t="s">
        <v>329</v>
      </c>
      <c r="E1341" t="s">
        <v>330</v>
      </c>
      <c r="F1341" t="s">
        <v>21</v>
      </c>
      <c r="G1341">
        <v>32</v>
      </c>
      <c r="H1341">
        <v>1635.9375</v>
      </c>
      <c r="I1341">
        <v>-52350</v>
      </c>
      <c r="K1341">
        <v>1635.9375</v>
      </c>
      <c r="L1341">
        <v>-52350</v>
      </c>
      <c r="M1341" t="s">
        <v>329</v>
      </c>
      <c r="N1341" t="s">
        <v>328</v>
      </c>
    </row>
    <row r="1342" spans="1:14" x14ac:dyDescent="0.25">
      <c r="A1342" s="18">
        <v>46059</v>
      </c>
      <c r="B1342" t="s">
        <v>289</v>
      </c>
      <c r="C1342" t="s">
        <v>702</v>
      </c>
      <c r="D1342" t="s">
        <v>703</v>
      </c>
      <c r="E1342" t="s">
        <v>704</v>
      </c>
      <c r="F1342" t="s">
        <v>21</v>
      </c>
      <c r="G1342">
        <v>1585</v>
      </c>
      <c r="H1342">
        <v>191.32</v>
      </c>
      <c r="I1342">
        <v>-303242.2</v>
      </c>
      <c r="K1342">
        <v>191.32</v>
      </c>
      <c r="L1342">
        <v>-303242.2</v>
      </c>
      <c r="M1342" t="s">
        <v>703</v>
      </c>
      <c r="N1342" t="s">
        <v>702</v>
      </c>
    </row>
    <row r="1343" spans="1:14" x14ac:dyDescent="0.25">
      <c r="A1343" s="18">
        <v>46059</v>
      </c>
      <c r="B1343" t="s">
        <v>289</v>
      </c>
      <c r="C1343" t="s">
        <v>753</v>
      </c>
      <c r="D1343" t="s">
        <v>754</v>
      </c>
      <c r="E1343" t="s">
        <v>276</v>
      </c>
      <c r="F1343" t="s">
        <v>21</v>
      </c>
      <c r="G1343">
        <v>659</v>
      </c>
      <c r="H1343">
        <v>69.900000000000006</v>
      </c>
      <c r="I1343">
        <v>-46064.100000000006</v>
      </c>
      <c r="K1343">
        <v>69.900000000000006</v>
      </c>
      <c r="L1343">
        <v>-46064.100000000006</v>
      </c>
      <c r="M1343" t="s">
        <v>754</v>
      </c>
      <c r="N1343" t="s">
        <v>753</v>
      </c>
    </row>
    <row r="1344" spans="1:14" x14ac:dyDescent="0.25">
      <c r="A1344" s="18">
        <v>46059</v>
      </c>
      <c r="B1344" t="s">
        <v>289</v>
      </c>
      <c r="C1344" t="s">
        <v>328</v>
      </c>
      <c r="D1344" t="s">
        <v>329</v>
      </c>
      <c r="E1344" t="s">
        <v>330</v>
      </c>
      <c r="F1344" t="s">
        <v>21</v>
      </c>
      <c r="G1344">
        <v>32</v>
      </c>
      <c r="H1344">
        <v>1609.0313000000001</v>
      </c>
      <c r="I1344">
        <v>-51489.001600000003</v>
      </c>
      <c r="K1344">
        <v>1609.0313000000001</v>
      </c>
      <c r="L1344">
        <v>-51489.001600000003</v>
      </c>
      <c r="M1344" t="s">
        <v>329</v>
      </c>
      <c r="N1344" t="s">
        <v>328</v>
      </c>
    </row>
    <row r="1345" spans="1:14" x14ac:dyDescent="0.25">
      <c r="A1345" s="18">
        <v>46059</v>
      </c>
      <c r="B1345" t="s">
        <v>289</v>
      </c>
      <c r="C1345" t="s">
        <v>772</v>
      </c>
      <c r="D1345" t="s">
        <v>773</v>
      </c>
      <c r="E1345" t="s">
        <v>774</v>
      </c>
      <c r="F1345" t="s">
        <v>21</v>
      </c>
      <c r="G1345">
        <v>17000</v>
      </c>
      <c r="H1345">
        <v>113.0474</v>
      </c>
      <c r="I1345">
        <v>-1921805.8</v>
      </c>
      <c r="K1345">
        <v>113.0474</v>
      </c>
      <c r="L1345">
        <v>-1921805.8</v>
      </c>
      <c r="M1345" t="s">
        <v>773</v>
      </c>
      <c r="N1345" t="s">
        <v>772</v>
      </c>
    </row>
    <row r="1346" spans="1:14" x14ac:dyDescent="0.25">
      <c r="A1346" s="18">
        <v>46059</v>
      </c>
      <c r="B1346" t="s">
        <v>289</v>
      </c>
      <c r="C1346" t="s">
        <v>328</v>
      </c>
      <c r="D1346" t="s">
        <v>329</v>
      </c>
      <c r="E1346" t="s">
        <v>330</v>
      </c>
      <c r="F1346" t="s">
        <v>21</v>
      </c>
      <c r="G1346">
        <v>32</v>
      </c>
      <c r="H1346">
        <v>1596</v>
      </c>
      <c r="I1346">
        <v>-51072</v>
      </c>
      <c r="K1346">
        <v>1596</v>
      </c>
      <c r="L1346">
        <v>-51072</v>
      </c>
      <c r="M1346" t="s">
        <v>329</v>
      </c>
      <c r="N1346" t="s">
        <v>328</v>
      </c>
    </row>
    <row r="1347" spans="1:14" x14ac:dyDescent="0.25">
      <c r="A1347" s="18">
        <v>46059</v>
      </c>
      <c r="B1347" t="s">
        <v>289</v>
      </c>
      <c r="C1347" t="s">
        <v>450</v>
      </c>
      <c r="D1347" t="s">
        <v>116</v>
      </c>
      <c r="E1347" t="s">
        <v>451</v>
      </c>
      <c r="F1347" t="s">
        <v>21</v>
      </c>
      <c r="G1347">
        <v>31690</v>
      </c>
      <c r="H1347">
        <v>6.3680000000000003</v>
      </c>
      <c r="I1347">
        <v>-201801.92</v>
      </c>
      <c r="K1347">
        <v>6.3680000000000003</v>
      </c>
      <c r="L1347">
        <v>-201801.92</v>
      </c>
      <c r="M1347" t="s">
        <v>116</v>
      </c>
      <c r="N1347" t="s">
        <v>450</v>
      </c>
    </row>
    <row r="1348" spans="1:14" x14ac:dyDescent="0.25">
      <c r="A1348" s="18">
        <v>46059</v>
      </c>
      <c r="B1348" t="s">
        <v>289</v>
      </c>
      <c r="C1348" t="s">
        <v>702</v>
      </c>
      <c r="D1348" t="s">
        <v>703</v>
      </c>
      <c r="E1348" t="s">
        <v>704</v>
      </c>
      <c r="F1348" t="s">
        <v>21</v>
      </c>
      <c r="G1348">
        <v>265</v>
      </c>
      <c r="H1348">
        <v>190.04</v>
      </c>
      <c r="I1348">
        <v>-50360.6</v>
      </c>
      <c r="K1348">
        <v>190.04</v>
      </c>
      <c r="L1348">
        <v>-50360.6</v>
      </c>
      <c r="M1348" t="s">
        <v>703</v>
      </c>
      <c r="N1348" t="s">
        <v>702</v>
      </c>
    </row>
    <row r="1349" spans="1:14" x14ac:dyDescent="0.25">
      <c r="A1349" s="18">
        <v>46059</v>
      </c>
      <c r="B1349" t="s">
        <v>289</v>
      </c>
      <c r="C1349" t="s">
        <v>479</v>
      </c>
      <c r="D1349" t="s">
        <v>480</v>
      </c>
      <c r="E1349" t="s">
        <v>481</v>
      </c>
      <c r="F1349" t="s">
        <v>21</v>
      </c>
      <c r="G1349">
        <v>280</v>
      </c>
      <c r="H1349">
        <v>178.6</v>
      </c>
      <c r="I1349">
        <v>-50008</v>
      </c>
      <c r="K1349">
        <v>178.6</v>
      </c>
      <c r="L1349">
        <v>-50008</v>
      </c>
      <c r="M1349" t="s">
        <v>480</v>
      </c>
      <c r="N1349" t="s">
        <v>479</v>
      </c>
    </row>
    <row r="1350" spans="1:14" x14ac:dyDescent="0.25">
      <c r="A1350" s="18">
        <v>46059</v>
      </c>
      <c r="B1350" t="s">
        <v>289</v>
      </c>
      <c r="C1350" t="s">
        <v>775</v>
      </c>
      <c r="D1350" t="s">
        <v>126</v>
      </c>
      <c r="E1350" t="s">
        <v>776</v>
      </c>
      <c r="F1350" t="s">
        <v>21</v>
      </c>
      <c r="G1350">
        <v>20000</v>
      </c>
      <c r="H1350">
        <v>117.81</v>
      </c>
      <c r="I1350">
        <v>-2356200</v>
      </c>
      <c r="K1350">
        <v>117.81</v>
      </c>
      <c r="L1350">
        <v>-2356200</v>
      </c>
      <c r="M1350" t="s">
        <v>126</v>
      </c>
      <c r="N1350" t="s">
        <v>775</v>
      </c>
    </row>
    <row r="1351" spans="1:14" x14ac:dyDescent="0.25">
      <c r="A1351" s="18">
        <v>46059</v>
      </c>
      <c r="B1351" t="s">
        <v>289</v>
      </c>
      <c r="C1351" t="s">
        <v>314</v>
      </c>
      <c r="D1351" t="s">
        <v>315</v>
      </c>
      <c r="E1351" t="s">
        <v>362</v>
      </c>
      <c r="F1351" t="s">
        <v>21</v>
      </c>
      <c r="G1351">
        <v>2500</v>
      </c>
      <c r="H1351">
        <v>27.9</v>
      </c>
      <c r="I1351">
        <v>-69750</v>
      </c>
      <c r="K1351">
        <v>27.9</v>
      </c>
      <c r="L1351">
        <v>-69750</v>
      </c>
      <c r="M1351" t="s">
        <v>315</v>
      </c>
      <c r="N1351" t="s">
        <v>314</v>
      </c>
    </row>
    <row r="1352" spans="1:14" x14ac:dyDescent="0.25">
      <c r="A1352" s="18">
        <v>46062</v>
      </c>
      <c r="B1352" t="s">
        <v>319</v>
      </c>
      <c r="C1352" t="s">
        <v>714</v>
      </c>
      <c r="D1352" t="s">
        <v>715</v>
      </c>
      <c r="E1352" t="s">
        <v>716</v>
      </c>
      <c r="F1352" t="s">
        <v>21</v>
      </c>
      <c r="G1352">
        <v>-3</v>
      </c>
      <c r="H1352">
        <v>6006</v>
      </c>
      <c r="I1352">
        <v>180180</v>
      </c>
      <c r="K1352">
        <v>6006</v>
      </c>
      <c r="L1352">
        <v>180180</v>
      </c>
      <c r="M1352" t="s">
        <v>715</v>
      </c>
      <c r="N1352" t="s">
        <v>714</v>
      </c>
    </row>
    <row r="1353" spans="1:14" x14ac:dyDescent="0.25">
      <c r="A1353" s="18">
        <v>46062</v>
      </c>
      <c r="B1353" t="s">
        <v>319</v>
      </c>
      <c r="C1353" t="s">
        <v>502</v>
      </c>
      <c r="D1353" t="s">
        <v>503</v>
      </c>
      <c r="E1353" t="s">
        <v>504</v>
      </c>
      <c r="F1353" t="s">
        <v>49</v>
      </c>
      <c r="G1353">
        <v>-106500</v>
      </c>
      <c r="H1353">
        <v>3.2298</v>
      </c>
      <c r="I1353">
        <v>343973.7</v>
      </c>
      <c r="K1353">
        <v>3.2298</v>
      </c>
      <c r="L1353">
        <v>343973.7</v>
      </c>
      <c r="M1353" t="s">
        <v>503</v>
      </c>
      <c r="N1353" t="s">
        <v>502</v>
      </c>
    </row>
    <row r="1354" spans="1:14" x14ac:dyDescent="0.25">
      <c r="A1354" s="18">
        <v>46062</v>
      </c>
      <c r="B1354" t="s">
        <v>289</v>
      </c>
      <c r="C1354" t="s">
        <v>301</v>
      </c>
      <c r="D1354" t="s">
        <v>120</v>
      </c>
      <c r="E1354" t="s">
        <v>363</v>
      </c>
      <c r="F1354" t="s">
        <v>21</v>
      </c>
      <c r="G1354">
        <v>262</v>
      </c>
      <c r="H1354">
        <v>385.49709999999999</v>
      </c>
      <c r="I1354">
        <v>-101000.2402</v>
      </c>
      <c r="K1354">
        <v>385.49709999999999</v>
      </c>
      <c r="L1354">
        <v>-101000.2402</v>
      </c>
      <c r="M1354" t="s">
        <v>120</v>
      </c>
      <c r="N1354" t="s">
        <v>301</v>
      </c>
    </row>
    <row r="1355" spans="1:14" x14ac:dyDescent="0.25">
      <c r="A1355" s="18">
        <v>46062</v>
      </c>
      <c r="B1355" t="s">
        <v>289</v>
      </c>
      <c r="C1355" t="s">
        <v>450</v>
      </c>
      <c r="D1355" t="s">
        <v>116</v>
      </c>
      <c r="E1355" t="s">
        <v>451</v>
      </c>
      <c r="F1355" t="s">
        <v>21</v>
      </c>
      <c r="G1355">
        <v>15600</v>
      </c>
      <c r="H1355">
        <v>6.343</v>
      </c>
      <c r="I1355">
        <v>-98950.8</v>
      </c>
      <c r="K1355">
        <v>6.343</v>
      </c>
      <c r="L1355">
        <v>-98950.8</v>
      </c>
      <c r="M1355" t="s">
        <v>116</v>
      </c>
      <c r="N1355" t="s">
        <v>450</v>
      </c>
    </row>
    <row r="1356" spans="1:14" x14ac:dyDescent="0.25">
      <c r="A1356" s="18">
        <v>46062</v>
      </c>
      <c r="B1356" t="s">
        <v>289</v>
      </c>
      <c r="C1356" t="s">
        <v>764</v>
      </c>
      <c r="D1356" t="s">
        <v>765</v>
      </c>
      <c r="E1356" t="s">
        <v>766</v>
      </c>
      <c r="F1356" t="s">
        <v>36</v>
      </c>
      <c r="G1356">
        <v>2429</v>
      </c>
      <c r="H1356">
        <v>36.492800000000003</v>
      </c>
      <c r="I1356">
        <v>-88641.011200000008</v>
      </c>
      <c r="K1356">
        <v>36.492800000000003</v>
      </c>
      <c r="L1356">
        <v>-88641.011200000008</v>
      </c>
      <c r="M1356" t="s">
        <v>765</v>
      </c>
      <c r="N1356" t="s">
        <v>764</v>
      </c>
    </row>
    <row r="1357" spans="1:14" x14ac:dyDescent="0.25">
      <c r="A1357" s="18">
        <v>46062</v>
      </c>
      <c r="B1357" t="s">
        <v>319</v>
      </c>
      <c r="C1357" t="s">
        <v>493</v>
      </c>
      <c r="D1357" t="s">
        <v>28</v>
      </c>
      <c r="E1357" t="s">
        <v>29</v>
      </c>
      <c r="F1357" t="s">
        <v>21</v>
      </c>
      <c r="G1357">
        <v>-385</v>
      </c>
      <c r="H1357">
        <v>255.55</v>
      </c>
      <c r="I1357">
        <v>98386.75</v>
      </c>
      <c r="K1357">
        <v>255.55</v>
      </c>
      <c r="L1357">
        <v>98386.75</v>
      </c>
      <c r="M1357" t="s">
        <v>28</v>
      </c>
      <c r="N1357" t="s">
        <v>493</v>
      </c>
    </row>
    <row r="1358" spans="1:14" x14ac:dyDescent="0.25">
      <c r="A1358" s="18">
        <v>46062</v>
      </c>
      <c r="B1358" t="s">
        <v>289</v>
      </c>
      <c r="C1358" t="s">
        <v>777</v>
      </c>
      <c r="D1358" t="s">
        <v>778</v>
      </c>
      <c r="E1358" t="s">
        <v>779</v>
      </c>
      <c r="F1358" t="s">
        <v>82</v>
      </c>
      <c r="G1358">
        <v>1371</v>
      </c>
      <c r="H1358">
        <v>67.69</v>
      </c>
      <c r="I1358">
        <v>-92802.989999999991</v>
      </c>
      <c r="K1358">
        <v>67.69</v>
      </c>
      <c r="L1358">
        <v>-92802.989999999991</v>
      </c>
      <c r="M1358" t="s">
        <v>778</v>
      </c>
      <c r="N1358" t="s">
        <v>777</v>
      </c>
    </row>
    <row r="1359" spans="1:14" x14ac:dyDescent="0.25">
      <c r="A1359" s="18">
        <v>46062</v>
      </c>
      <c r="B1359" t="s">
        <v>289</v>
      </c>
      <c r="C1359" t="s">
        <v>641</v>
      </c>
      <c r="D1359" t="s">
        <v>37</v>
      </c>
      <c r="E1359" t="s">
        <v>38</v>
      </c>
      <c r="F1359" t="s">
        <v>36</v>
      </c>
      <c r="G1359">
        <v>6100</v>
      </c>
      <c r="H1359">
        <v>21.6816</v>
      </c>
      <c r="I1359">
        <v>-132257.76</v>
      </c>
      <c r="K1359">
        <v>21.681600000000003</v>
      </c>
      <c r="L1359">
        <v>-132257.76</v>
      </c>
      <c r="M1359" t="s">
        <v>37</v>
      </c>
      <c r="N1359" t="s">
        <v>641</v>
      </c>
    </row>
    <row r="1360" spans="1:14" x14ac:dyDescent="0.25">
      <c r="A1360" s="18">
        <v>46062</v>
      </c>
      <c r="B1360" t="s">
        <v>319</v>
      </c>
      <c r="C1360" t="s">
        <v>723</v>
      </c>
      <c r="D1360" t="s">
        <v>724</v>
      </c>
      <c r="E1360" t="s">
        <v>725</v>
      </c>
      <c r="F1360" t="s">
        <v>49</v>
      </c>
      <c r="G1360">
        <v>-1</v>
      </c>
      <c r="H1360">
        <v>6983.25</v>
      </c>
      <c r="I1360">
        <v>69832.5</v>
      </c>
      <c r="K1360">
        <v>6983.25</v>
      </c>
      <c r="L1360">
        <v>69832.5</v>
      </c>
      <c r="M1360" t="s">
        <v>724</v>
      </c>
      <c r="N1360" t="s">
        <v>723</v>
      </c>
    </row>
    <row r="1361" spans="1:14" x14ac:dyDescent="0.25">
      <c r="A1361" s="18">
        <v>46062</v>
      </c>
      <c r="B1361" t="s">
        <v>289</v>
      </c>
      <c r="C1361" t="s">
        <v>717</v>
      </c>
      <c r="D1361" t="s">
        <v>718</v>
      </c>
      <c r="E1361" t="s">
        <v>719</v>
      </c>
      <c r="F1361" t="s">
        <v>49</v>
      </c>
      <c r="G1361">
        <v>4</v>
      </c>
      <c r="H1361">
        <v>2696.5</v>
      </c>
      <c r="I1361">
        <v>-539300</v>
      </c>
      <c r="K1361">
        <v>2696.5</v>
      </c>
      <c r="L1361">
        <v>-539300</v>
      </c>
      <c r="M1361" t="s">
        <v>718</v>
      </c>
      <c r="N1361" t="s">
        <v>717</v>
      </c>
    </row>
    <row r="1362" spans="1:14" x14ac:dyDescent="0.25">
      <c r="A1362" s="18">
        <v>46063</v>
      </c>
      <c r="B1362" t="s">
        <v>289</v>
      </c>
      <c r="C1362" t="s">
        <v>323</v>
      </c>
      <c r="D1362" t="s">
        <v>39</v>
      </c>
      <c r="E1362" t="s">
        <v>40</v>
      </c>
      <c r="F1362" t="s">
        <v>36</v>
      </c>
      <c r="G1362">
        <v>1124</v>
      </c>
      <c r="H1362">
        <v>38.6</v>
      </c>
      <c r="I1362">
        <v>-43386.400000000001</v>
      </c>
      <c r="K1362">
        <v>38.6</v>
      </c>
      <c r="L1362">
        <v>-43386.400000000001</v>
      </c>
      <c r="M1362" t="s">
        <v>39</v>
      </c>
      <c r="N1362" t="s">
        <v>323</v>
      </c>
    </row>
    <row r="1363" spans="1:14" x14ac:dyDescent="0.25">
      <c r="A1363" s="18">
        <v>46063</v>
      </c>
      <c r="B1363" t="s">
        <v>289</v>
      </c>
      <c r="C1363" t="s">
        <v>777</v>
      </c>
      <c r="D1363" t="s">
        <v>778</v>
      </c>
      <c r="E1363" t="s">
        <v>779</v>
      </c>
      <c r="F1363" t="s">
        <v>82</v>
      </c>
      <c r="G1363">
        <v>2680</v>
      </c>
      <c r="H1363">
        <v>68.609899999999996</v>
      </c>
      <c r="I1363">
        <v>-183874.53199999998</v>
      </c>
      <c r="K1363">
        <v>68.609899999999996</v>
      </c>
      <c r="L1363">
        <v>-183874.53199999998</v>
      </c>
      <c r="M1363" t="s">
        <v>778</v>
      </c>
      <c r="N1363" t="s">
        <v>777</v>
      </c>
    </row>
    <row r="1364" spans="1:14" x14ac:dyDescent="0.25">
      <c r="A1364" s="18">
        <v>46063</v>
      </c>
      <c r="B1364" t="s">
        <v>289</v>
      </c>
      <c r="C1364" t="s">
        <v>775</v>
      </c>
      <c r="D1364" t="s">
        <v>126</v>
      </c>
      <c r="E1364" t="s">
        <v>776</v>
      </c>
      <c r="F1364" t="s">
        <v>21</v>
      </c>
      <c r="G1364">
        <v>18000</v>
      </c>
      <c r="H1364">
        <v>117.82</v>
      </c>
      <c r="I1364">
        <v>-2120760</v>
      </c>
      <c r="K1364">
        <v>117.82</v>
      </c>
      <c r="L1364">
        <v>-2120760</v>
      </c>
      <c r="M1364" t="s">
        <v>126</v>
      </c>
      <c r="N1364" t="s">
        <v>775</v>
      </c>
    </row>
    <row r="1365" spans="1:14" x14ac:dyDescent="0.25">
      <c r="A1365" s="18">
        <v>46063</v>
      </c>
      <c r="B1365" t="s">
        <v>319</v>
      </c>
      <c r="C1365" t="s">
        <v>720</v>
      </c>
      <c r="D1365" t="s">
        <v>721</v>
      </c>
      <c r="E1365" t="s">
        <v>722</v>
      </c>
      <c r="F1365" t="s">
        <v>49</v>
      </c>
      <c r="G1365">
        <v>-1</v>
      </c>
      <c r="H1365">
        <v>25395.5</v>
      </c>
      <c r="I1365">
        <v>507910</v>
      </c>
      <c r="K1365">
        <v>25395.5</v>
      </c>
      <c r="L1365">
        <v>507910</v>
      </c>
      <c r="M1365" t="s">
        <v>721</v>
      </c>
      <c r="N1365" t="s">
        <v>720</v>
      </c>
    </row>
    <row r="1366" spans="1:14" x14ac:dyDescent="0.25">
      <c r="A1366" s="18">
        <v>46063</v>
      </c>
      <c r="B1366" t="s">
        <v>289</v>
      </c>
      <c r="C1366" t="s">
        <v>323</v>
      </c>
      <c r="D1366" t="s">
        <v>39</v>
      </c>
      <c r="E1366" t="s">
        <v>40</v>
      </c>
      <c r="F1366" t="s">
        <v>36</v>
      </c>
      <c r="G1366">
        <v>1129</v>
      </c>
      <c r="H1366">
        <v>38.200000000000003</v>
      </c>
      <c r="I1366">
        <v>-43127.8</v>
      </c>
      <c r="K1366">
        <v>38.200000000000003</v>
      </c>
      <c r="L1366">
        <v>-43127.8</v>
      </c>
      <c r="M1366" t="s">
        <v>39</v>
      </c>
      <c r="N1366" t="s">
        <v>323</v>
      </c>
    </row>
    <row r="1367" spans="1:14" x14ac:dyDescent="0.25">
      <c r="A1367" s="18">
        <v>46063</v>
      </c>
      <c r="B1367" t="s">
        <v>319</v>
      </c>
      <c r="C1367" t="s">
        <v>587</v>
      </c>
      <c r="D1367" t="s">
        <v>588</v>
      </c>
      <c r="E1367" t="s">
        <v>589</v>
      </c>
      <c r="F1367" t="s">
        <v>21</v>
      </c>
      <c r="G1367">
        <v>-5820</v>
      </c>
      <c r="H1367">
        <v>17.017299999999999</v>
      </c>
      <c r="I1367">
        <v>99040.685999999987</v>
      </c>
      <c r="K1367">
        <v>17.017299999999999</v>
      </c>
      <c r="L1367">
        <v>99040.685999999987</v>
      </c>
      <c r="M1367" t="s">
        <v>588</v>
      </c>
      <c r="N1367" t="s">
        <v>587</v>
      </c>
    </row>
    <row r="1368" spans="1:14" x14ac:dyDescent="0.25">
      <c r="A1368" s="18">
        <v>46063</v>
      </c>
      <c r="B1368" t="s">
        <v>319</v>
      </c>
      <c r="C1368" t="s">
        <v>361</v>
      </c>
      <c r="D1368" t="s">
        <v>93</v>
      </c>
      <c r="E1368" t="s">
        <v>94</v>
      </c>
      <c r="F1368" t="s">
        <v>21</v>
      </c>
      <c r="G1368">
        <v>-634</v>
      </c>
      <c r="H1368">
        <v>153.5</v>
      </c>
      <c r="I1368">
        <v>97319</v>
      </c>
      <c r="K1368">
        <v>153.5</v>
      </c>
      <c r="L1368">
        <v>97319</v>
      </c>
      <c r="M1368" t="s">
        <v>93</v>
      </c>
      <c r="N1368" t="s">
        <v>361</v>
      </c>
    </row>
    <row r="1369" spans="1:14" x14ac:dyDescent="0.25">
      <c r="A1369" s="18">
        <v>46063</v>
      </c>
      <c r="B1369" t="s">
        <v>289</v>
      </c>
      <c r="C1369" t="s">
        <v>758</v>
      </c>
      <c r="D1369" t="s">
        <v>759</v>
      </c>
      <c r="E1369" t="s">
        <v>760</v>
      </c>
      <c r="F1369" t="s">
        <v>21</v>
      </c>
      <c r="G1369">
        <v>1100</v>
      </c>
      <c r="H1369">
        <v>44.73</v>
      </c>
      <c r="I1369">
        <v>-49203</v>
      </c>
      <c r="K1369">
        <v>44.73</v>
      </c>
      <c r="L1369">
        <v>-49203</v>
      </c>
      <c r="M1369" t="s">
        <v>759</v>
      </c>
      <c r="N1369" t="s">
        <v>758</v>
      </c>
    </row>
    <row r="1370" spans="1:14" x14ac:dyDescent="0.25">
      <c r="A1370" s="18">
        <v>46063</v>
      </c>
      <c r="B1370" t="s">
        <v>289</v>
      </c>
      <c r="C1370" t="s">
        <v>764</v>
      </c>
      <c r="D1370" t="s">
        <v>765</v>
      </c>
      <c r="E1370" t="s">
        <v>766</v>
      </c>
      <c r="F1370" t="s">
        <v>36</v>
      </c>
      <c r="G1370">
        <v>1140</v>
      </c>
      <c r="H1370">
        <v>36.619999999999997</v>
      </c>
      <c r="I1370">
        <v>-41746.799999999996</v>
      </c>
      <c r="K1370">
        <v>36.619999999999997</v>
      </c>
      <c r="L1370">
        <v>-41746.799999999996</v>
      </c>
      <c r="M1370" t="s">
        <v>765</v>
      </c>
      <c r="N1370" t="s">
        <v>764</v>
      </c>
    </row>
    <row r="1371" spans="1:14" x14ac:dyDescent="0.25">
      <c r="A1371" s="18">
        <v>46063</v>
      </c>
      <c r="B1371" t="s">
        <v>289</v>
      </c>
      <c r="C1371" t="s">
        <v>311</v>
      </c>
      <c r="D1371" t="s">
        <v>312</v>
      </c>
      <c r="E1371" t="s">
        <v>313</v>
      </c>
      <c r="F1371" t="s">
        <v>21</v>
      </c>
      <c r="G1371">
        <v>240</v>
      </c>
      <c r="H1371">
        <v>308</v>
      </c>
      <c r="I1371">
        <v>-73920</v>
      </c>
      <c r="K1371">
        <v>308</v>
      </c>
      <c r="L1371">
        <v>-73920</v>
      </c>
      <c r="M1371" t="s">
        <v>312</v>
      </c>
      <c r="N1371" t="s">
        <v>311</v>
      </c>
    </row>
    <row r="1372" spans="1:14" x14ac:dyDescent="0.25">
      <c r="A1372" s="18">
        <v>46064</v>
      </c>
      <c r="B1372" t="s">
        <v>289</v>
      </c>
      <c r="C1372" t="s">
        <v>361</v>
      </c>
      <c r="D1372" t="s">
        <v>93</v>
      </c>
      <c r="E1372" t="s">
        <v>94</v>
      </c>
      <c r="F1372" t="s">
        <v>21</v>
      </c>
      <c r="G1372">
        <v>950</v>
      </c>
      <c r="H1372">
        <v>158.77500000000001</v>
      </c>
      <c r="I1372">
        <v>-150836.25</v>
      </c>
      <c r="K1372">
        <v>158.77500000000001</v>
      </c>
      <c r="L1372">
        <v>-150836.25</v>
      </c>
      <c r="M1372" t="s">
        <v>93</v>
      </c>
      <c r="N1372" t="s">
        <v>361</v>
      </c>
    </row>
    <row r="1373" spans="1:14" x14ac:dyDescent="0.25">
      <c r="A1373" s="18">
        <v>46064</v>
      </c>
      <c r="B1373" t="s">
        <v>289</v>
      </c>
      <c r="C1373" t="s">
        <v>316</v>
      </c>
      <c r="D1373" t="s">
        <v>317</v>
      </c>
      <c r="E1373" t="s">
        <v>274</v>
      </c>
      <c r="F1373" t="s">
        <v>21</v>
      </c>
      <c r="G1373">
        <v>840</v>
      </c>
      <c r="H1373">
        <v>59.22</v>
      </c>
      <c r="I1373">
        <v>-49744.799999999996</v>
      </c>
      <c r="K1373">
        <v>59.219999999999992</v>
      </c>
      <c r="L1373">
        <v>-49744.799999999996</v>
      </c>
      <c r="M1373" t="s">
        <v>317</v>
      </c>
      <c r="N1373" t="s">
        <v>316</v>
      </c>
    </row>
    <row r="1374" spans="1:14" x14ac:dyDescent="0.25">
      <c r="A1374" s="18">
        <v>46064</v>
      </c>
      <c r="B1374" t="s">
        <v>289</v>
      </c>
      <c r="C1374" t="s">
        <v>328</v>
      </c>
      <c r="D1374" t="s">
        <v>329</v>
      </c>
      <c r="E1374" t="s">
        <v>330</v>
      </c>
      <c r="F1374" t="s">
        <v>21</v>
      </c>
      <c r="G1374">
        <v>31</v>
      </c>
      <c r="H1374">
        <v>1609</v>
      </c>
      <c r="I1374">
        <v>-49879</v>
      </c>
      <c r="K1374">
        <v>1609</v>
      </c>
      <c r="L1374">
        <v>-49879</v>
      </c>
      <c r="M1374" t="s">
        <v>329</v>
      </c>
      <c r="N1374" t="s">
        <v>328</v>
      </c>
    </row>
    <row r="1375" spans="1:14" x14ac:dyDescent="0.25">
      <c r="A1375" s="18">
        <v>46064</v>
      </c>
      <c r="B1375" t="s">
        <v>319</v>
      </c>
      <c r="C1375" t="s">
        <v>479</v>
      </c>
      <c r="D1375" t="s">
        <v>480</v>
      </c>
      <c r="E1375" t="s">
        <v>481</v>
      </c>
      <c r="F1375" t="s">
        <v>21</v>
      </c>
      <c r="G1375">
        <v>-561</v>
      </c>
      <c r="H1375">
        <v>174.08320000000001</v>
      </c>
      <c r="I1375">
        <v>97660.675199999998</v>
      </c>
      <c r="K1375">
        <v>174.08320000000001</v>
      </c>
      <c r="L1375">
        <v>97660.675199999998</v>
      </c>
      <c r="M1375" t="s">
        <v>480</v>
      </c>
      <c r="N1375" t="s">
        <v>479</v>
      </c>
    </row>
    <row r="1376" spans="1:14" x14ac:dyDescent="0.25">
      <c r="A1376" s="18">
        <v>46064</v>
      </c>
      <c r="B1376" t="s">
        <v>289</v>
      </c>
      <c r="C1376" t="s">
        <v>702</v>
      </c>
      <c r="D1376" t="s">
        <v>703</v>
      </c>
      <c r="E1376" t="s">
        <v>704</v>
      </c>
      <c r="F1376" t="s">
        <v>21</v>
      </c>
      <c r="G1376">
        <v>522</v>
      </c>
      <c r="H1376">
        <v>189.28</v>
      </c>
      <c r="I1376">
        <v>-98804.160000000003</v>
      </c>
      <c r="K1376">
        <v>189.28</v>
      </c>
      <c r="L1376">
        <v>-98804.160000000003</v>
      </c>
      <c r="M1376" t="s">
        <v>703</v>
      </c>
      <c r="N1376" t="s">
        <v>702</v>
      </c>
    </row>
    <row r="1377" spans="1:14" x14ac:dyDescent="0.25">
      <c r="A1377" s="18">
        <v>46064</v>
      </c>
      <c r="B1377" t="s">
        <v>319</v>
      </c>
      <c r="C1377" t="s">
        <v>660</v>
      </c>
      <c r="D1377" t="s">
        <v>62</v>
      </c>
      <c r="E1377" t="s">
        <v>63</v>
      </c>
      <c r="F1377" t="s">
        <v>49</v>
      </c>
      <c r="G1377">
        <v>-358</v>
      </c>
      <c r="H1377">
        <v>312.27999999999997</v>
      </c>
      <c r="I1377">
        <v>111796.23999999999</v>
      </c>
      <c r="K1377">
        <v>312.27999999999997</v>
      </c>
      <c r="L1377">
        <v>111796.23999999999</v>
      </c>
      <c r="M1377" t="s">
        <v>62</v>
      </c>
      <c r="N1377" t="s">
        <v>660</v>
      </c>
    </row>
    <row r="1378" spans="1:14" x14ac:dyDescent="0.25">
      <c r="A1378" s="18">
        <v>46064</v>
      </c>
      <c r="B1378" t="s">
        <v>289</v>
      </c>
      <c r="C1378" t="s">
        <v>700</v>
      </c>
      <c r="D1378" t="s">
        <v>68</v>
      </c>
      <c r="E1378" t="s">
        <v>701</v>
      </c>
      <c r="F1378" t="s">
        <v>49</v>
      </c>
      <c r="G1378">
        <v>822</v>
      </c>
      <c r="H1378">
        <v>121.77589999999999</v>
      </c>
      <c r="I1378">
        <v>-100099.7898</v>
      </c>
      <c r="K1378">
        <v>121.77589999999999</v>
      </c>
      <c r="L1378">
        <v>-100099.7898</v>
      </c>
      <c r="M1378" t="s">
        <v>68</v>
      </c>
      <c r="N1378" t="s">
        <v>700</v>
      </c>
    </row>
    <row r="1379" spans="1:14" x14ac:dyDescent="0.25">
      <c r="A1379" s="18">
        <v>46065</v>
      </c>
      <c r="B1379" t="s">
        <v>289</v>
      </c>
      <c r="C1379" t="s">
        <v>619</v>
      </c>
      <c r="D1379" t="s">
        <v>620</v>
      </c>
      <c r="E1379" t="s">
        <v>621</v>
      </c>
      <c r="F1379" t="s">
        <v>21</v>
      </c>
      <c r="G1379">
        <v>400</v>
      </c>
      <c r="H1379">
        <v>273.00349999999997</v>
      </c>
      <c r="I1379">
        <v>-109201.4</v>
      </c>
      <c r="K1379">
        <v>273.00349999999997</v>
      </c>
      <c r="L1379">
        <v>-109201.4</v>
      </c>
      <c r="M1379" t="s">
        <v>620</v>
      </c>
      <c r="N1379" t="s">
        <v>619</v>
      </c>
    </row>
    <row r="1380" spans="1:14" x14ac:dyDescent="0.25">
      <c r="A1380" s="18">
        <v>46065</v>
      </c>
      <c r="B1380" t="s">
        <v>319</v>
      </c>
      <c r="C1380" t="s">
        <v>331</v>
      </c>
      <c r="D1380" t="s">
        <v>332</v>
      </c>
      <c r="E1380" t="s">
        <v>333</v>
      </c>
      <c r="F1380" t="s">
        <v>21</v>
      </c>
      <c r="G1380">
        <v>-116</v>
      </c>
      <c r="H1380">
        <v>1000</v>
      </c>
      <c r="I1380">
        <v>116000</v>
      </c>
      <c r="K1380">
        <v>1000</v>
      </c>
      <c r="L1380">
        <v>116000</v>
      </c>
      <c r="M1380" t="s">
        <v>332</v>
      </c>
      <c r="N1380" t="s">
        <v>331</v>
      </c>
    </row>
    <row r="1381" spans="1:14" x14ac:dyDescent="0.25">
      <c r="A1381" s="18">
        <v>46065</v>
      </c>
      <c r="B1381" t="s">
        <v>289</v>
      </c>
      <c r="C1381" t="s">
        <v>619</v>
      </c>
      <c r="D1381" t="s">
        <v>620</v>
      </c>
      <c r="E1381" t="s">
        <v>621</v>
      </c>
      <c r="F1381" t="s">
        <v>21</v>
      </c>
      <c r="G1381">
        <v>400</v>
      </c>
      <c r="H1381">
        <v>276</v>
      </c>
      <c r="I1381">
        <v>-110400</v>
      </c>
      <c r="K1381">
        <v>276</v>
      </c>
      <c r="L1381">
        <v>-110400</v>
      </c>
      <c r="M1381" t="s">
        <v>620</v>
      </c>
      <c r="N1381" t="s">
        <v>619</v>
      </c>
    </row>
    <row r="1382" spans="1:14" x14ac:dyDescent="0.25">
      <c r="A1382" s="18">
        <v>46065</v>
      </c>
      <c r="B1382" t="s">
        <v>289</v>
      </c>
      <c r="C1382" t="s">
        <v>314</v>
      </c>
      <c r="D1382" t="s">
        <v>315</v>
      </c>
      <c r="E1382" t="s">
        <v>362</v>
      </c>
      <c r="F1382" t="s">
        <v>21</v>
      </c>
      <c r="G1382">
        <v>2829</v>
      </c>
      <c r="H1382">
        <v>26.7133</v>
      </c>
      <c r="I1382">
        <v>-75571.925700000007</v>
      </c>
      <c r="K1382">
        <v>26.713300000000004</v>
      </c>
      <c r="L1382">
        <v>-75571.925700000007</v>
      </c>
      <c r="M1382" t="s">
        <v>315</v>
      </c>
      <c r="N1382" t="s">
        <v>314</v>
      </c>
    </row>
    <row r="1383" spans="1:14" x14ac:dyDescent="0.25">
      <c r="A1383" s="18">
        <v>46065</v>
      </c>
      <c r="B1383" t="s">
        <v>319</v>
      </c>
      <c r="C1383" t="s">
        <v>641</v>
      </c>
      <c r="D1383" t="s">
        <v>37</v>
      </c>
      <c r="E1383" t="s">
        <v>38</v>
      </c>
      <c r="F1383" t="s">
        <v>36</v>
      </c>
      <c r="G1383">
        <v>-6100</v>
      </c>
      <c r="H1383">
        <v>20.43</v>
      </c>
      <c r="I1383">
        <v>124623</v>
      </c>
      <c r="K1383">
        <v>20.43</v>
      </c>
      <c r="L1383">
        <v>124623</v>
      </c>
      <c r="M1383" t="s">
        <v>37</v>
      </c>
      <c r="N1383" t="s">
        <v>641</v>
      </c>
    </row>
    <row r="1384" spans="1:14" x14ac:dyDescent="0.25">
      <c r="A1384" s="18">
        <v>46065</v>
      </c>
      <c r="B1384" t="s">
        <v>289</v>
      </c>
      <c r="C1384" t="s">
        <v>619</v>
      </c>
      <c r="D1384" t="s">
        <v>620</v>
      </c>
      <c r="E1384" t="s">
        <v>621</v>
      </c>
      <c r="F1384" t="s">
        <v>21</v>
      </c>
      <c r="G1384">
        <v>200</v>
      </c>
      <c r="H1384">
        <v>265.43849999999998</v>
      </c>
      <c r="I1384">
        <v>-53087.7</v>
      </c>
      <c r="K1384">
        <v>265.43849999999998</v>
      </c>
      <c r="L1384">
        <v>-53087.7</v>
      </c>
      <c r="M1384" t="s">
        <v>620</v>
      </c>
      <c r="N1384" t="s">
        <v>619</v>
      </c>
    </row>
    <row r="1385" spans="1:14" x14ac:dyDescent="0.25">
      <c r="A1385" s="18">
        <v>46065</v>
      </c>
      <c r="B1385" t="s">
        <v>289</v>
      </c>
      <c r="C1385" t="s">
        <v>587</v>
      </c>
      <c r="D1385" t="s">
        <v>588</v>
      </c>
      <c r="E1385" t="s">
        <v>589</v>
      </c>
      <c r="F1385" t="s">
        <v>21</v>
      </c>
      <c r="G1385">
        <v>2900</v>
      </c>
      <c r="H1385">
        <v>16.709199999999999</v>
      </c>
      <c r="I1385">
        <v>-48456.68</v>
      </c>
      <c r="K1385">
        <v>16.709199999999999</v>
      </c>
      <c r="L1385">
        <v>-48456.68</v>
      </c>
      <c r="M1385" t="s">
        <v>588</v>
      </c>
      <c r="N1385" t="s">
        <v>587</v>
      </c>
    </row>
    <row r="1386" spans="1:14" x14ac:dyDescent="0.25">
      <c r="A1386" s="18">
        <v>46065</v>
      </c>
      <c r="B1386" t="s">
        <v>289</v>
      </c>
      <c r="C1386" t="s">
        <v>780</v>
      </c>
      <c r="D1386" t="s">
        <v>781</v>
      </c>
      <c r="E1386" t="s">
        <v>782</v>
      </c>
      <c r="F1386" t="s">
        <v>21</v>
      </c>
      <c r="G1386">
        <v>6700</v>
      </c>
      <c r="H1386">
        <v>30.418099999999999</v>
      </c>
      <c r="I1386">
        <v>-203801.27</v>
      </c>
      <c r="K1386">
        <v>30.418099999999999</v>
      </c>
      <c r="L1386">
        <v>-203801.27</v>
      </c>
      <c r="M1386" t="s">
        <v>781</v>
      </c>
      <c r="N1386" t="s">
        <v>780</v>
      </c>
    </row>
    <row r="1387" spans="1:14" x14ac:dyDescent="0.25">
      <c r="A1387" s="18">
        <v>46065</v>
      </c>
      <c r="B1387" t="s">
        <v>289</v>
      </c>
      <c r="C1387" t="s">
        <v>783</v>
      </c>
      <c r="D1387" t="s">
        <v>78</v>
      </c>
      <c r="E1387" t="s">
        <v>79</v>
      </c>
      <c r="F1387" t="s">
        <v>21</v>
      </c>
      <c r="G1387">
        <v>6059</v>
      </c>
      <c r="H1387">
        <v>33.105899999999998</v>
      </c>
      <c r="I1387">
        <v>-200588.64809999999</v>
      </c>
      <c r="K1387">
        <v>33.105899999999998</v>
      </c>
      <c r="L1387">
        <v>-200588.64809999999</v>
      </c>
      <c r="M1387" t="s">
        <v>78</v>
      </c>
      <c r="N1387" t="s">
        <v>783</v>
      </c>
    </row>
    <row r="1388" spans="1:14" x14ac:dyDescent="0.25">
      <c r="A1388" s="18">
        <v>46065</v>
      </c>
      <c r="B1388" t="s">
        <v>289</v>
      </c>
      <c r="C1388" t="s">
        <v>784</v>
      </c>
      <c r="D1388" t="s">
        <v>58</v>
      </c>
      <c r="E1388" t="s">
        <v>59</v>
      </c>
      <c r="F1388" t="s">
        <v>21</v>
      </c>
      <c r="G1388">
        <v>6050</v>
      </c>
      <c r="H1388">
        <v>32.778199999999998</v>
      </c>
      <c r="I1388">
        <v>-198308.11</v>
      </c>
      <c r="K1388">
        <v>32.778199999999998</v>
      </c>
      <c r="L1388">
        <v>-198308.11</v>
      </c>
      <c r="M1388" t="s">
        <v>58</v>
      </c>
      <c r="N1388" t="s">
        <v>784</v>
      </c>
    </row>
    <row r="1389" spans="1:14" x14ac:dyDescent="0.25">
      <c r="A1389" s="18">
        <v>46066</v>
      </c>
      <c r="B1389" t="s">
        <v>289</v>
      </c>
      <c r="C1389" t="s">
        <v>342</v>
      </c>
      <c r="D1389" t="s">
        <v>343</v>
      </c>
      <c r="E1389" t="s">
        <v>282</v>
      </c>
      <c r="F1389" t="s">
        <v>21</v>
      </c>
      <c r="G1389">
        <v>1120</v>
      </c>
      <c r="H1389">
        <v>89.008700000000005</v>
      </c>
      <c r="I1389">
        <v>-99689.744000000006</v>
      </c>
      <c r="K1389">
        <v>89.008700000000005</v>
      </c>
      <c r="L1389">
        <v>-99689.744000000006</v>
      </c>
      <c r="M1389" t="s">
        <v>343</v>
      </c>
      <c r="N1389" t="s">
        <v>342</v>
      </c>
    </row>
    <row r="1390" spans="1:14" x14ac:dyDescent="0.25">
      <c r="A1390" s="18">
        <v>46066</v>
      </c>
      <c r="B1390" t="s">
        <v>289</v>
      </c>
      <c r="C1390" t="s">
        <v>641</v>
      </c>
      <c r="D1390" t="s">
        <v>37</v>
      </c>
      <c r="E1390" t="s">
        <v>38</v>
      </c>
      <c r="F1390" t="s">
        <v>36</v>
      </c>
      <c r="G1390">
        <v>4329</v>
      </c>
      <c r="H1390">
        <v>21.7759</v>
      </c>
      <c r="I1390">
        <v>-94267.871100000004</v>
      </c>
      <c r="K1390">
        <v>21.7759</v>
      </c>
      <c r="L1390">
        <v>-94267.871100000004</v>
      </c>
      <c r="M1390" t="s">
        <v>37</v>
      </c>
      <c r="N1390" t="s">
        <v>641</v>
      </c>
    </row>
    <row r="1391" spans="1:14" x14ac:dyDescent="0.25">
      <c r="A1391" s="18">
        <v>46066</v>
      </c>
      <c r="B1391" t="s">
        <v>319</v>
      </c>
      <c r="C1391" t="s">
        <v>714</v>
      </c>
      <c r="D1391" t="s">
        <v>715</v>
      </c>
      <c r="E1391" t="s">
        <v>716</v>
      </c>
      <c r="F1391" t="s">
        <v>21</v>
      </c>
      <c r="G1391">
        <v>-7</v>
      </c>
      <c r="H1391">
        <v>5977</v>
      </c>
      <c r="I1391">
        <v>418390</v>
      </c>
      <c r="K1391">
        <v>5977</v>
      </c>
      <c r="L1391">
        <v>418390</v>
      </c>
      <c r="M1391" t="s">
        <v>715</v>
      </c>
      <c r="N1391" t="s">
        <v>714</v>
      </c>
    </row>
    <row r="1392" spans="1:14" x14ac:dyDescent="0.25">
      <c r="A1392" s="18">
        <v>46066</v>
      </c>
      <c r="B1392" t="s">
        <v>289</v>
      </c>
      <c r="C1392" t="s">
        <v>784</v>
      </c>
      <c r="D1392" t="s">
        <v>58</v>
      </c>
      <c r="E1392" t="s">
        <v>59</v>
      </c>
      <c r="F1392" t="s">
        <v>21</v>
      </c>
      <c r="G1392">
        <v>2330</v>
      </c>
      <c r="H1392">
        <v>32.740600000000001</v>
      </c>
      <c r="I1392">
        <v>-76285.597999999998</v>
      </c>
      <c r="K1392">
        <v>32.740600000000001</v>
      </c>
      <c r="L1392">
        <v>-76285.597999999998</v>
      </c>
      <c r="M1392" t="s">
        <v>58</v>
      </c>
      <c r="N1392" t="s">
        <v>784</v>
      </c>
    </row>
    <row r="1393" spans="1:14" x14ac:dyDescent="0.25">
      <c r="A1393" s="18">
        <v>46066</v>
      </c>
      <c r="B1393" t="s">
        <v>289</v>
      </c>
      <c r="C1393" t="s">
        <v>780</v>
      </c>
      <c r="D1393" t="s">
        <v>781</v>
      </c>
      <c r="E1393" t="s">
        <v>782</v>
      </c>
      <c r="F1393" t="s">
        <v>21</v>
      </c>
      <c r="G1393">
        <v>2520</v>
      </c>
      <c r="H1393">
        <v>29.8384</v>
      </c>
      <c r="I1393">
        <v>-75192.767999999996</v>
      </c>
      <c r="K1393">
        <v>29.8384</v>
      </c>
      <c r="L1393">
        <v>-75192.767999999996</v>
      </c>
      <c r="M1393" t="s">
        <v>781</v>
      </c>
      <c r="N1393" t="s">
        <v>780</v>
      </c>
    </row>
    <row r="1394" spans="1:14" x14ac:dyDescent="0.25">
      <c r="A1394" s="18">
        <v>46066</v>
      </c>
      <c r="B1394" t="s">
        <v>289</v>
      </c>
      <c r="C1394" t="s">
        <v>670</v>
      </c>
      <c r="D1394" t="s">
        <v>671</v>
      </c>
      <c r="E1394" t="s">
        <v>672</v>
      </c>
      <c r="F1394" t="s">
        <v>21</v>
      </c>
      <c r="G1394">
        <v>357</v>
      </c>
      <c r="H1394">
        <v>136.30000000000001</v>
      </c>
      <c r="I1394">
        <v>-48659.100000000006</v>
      </c>
      <c r="K1394">
        <v>136.30000000000001</v>
      </c>
      <c r="L1394">
        <v>-48659.100000000006</v>
      </c>
      <c r="M1394" t="s">
        <v>671</v>
      </c>
      <c r="N1394" t="s">
        <v>670</v>
      </c>
    </row>
    <row r="1395" spans="1:14" x14ac:dyDescent="0.25">
      <c r="A1395" s="18">
        <v>46066</v>
      </c>
      <c r="B1395" t="s">
        <v>289</v>
      </c>
      <c r="C1395" t="s">
        <v>783</v>
      </c>
      <c r="D1395" t="s">
        <v>78</v>
      </c>
      <c r="E1395" t="s">
        <v>79</v>
      </c>
      <c r="F1395" t="s">
        <v>21</v>
      </c>
      <c r="G1395">
        <v>2350</v>
      </c>
      <c r="H1395">
        <v>32.242800000000003</v>
      </c>
      <c r="I1395">
        <v>-75770.58</v>
      </c>
      <c r="K1395">
        <v>32.242800000000003</v>
      </c>
      <c r="L1395">
        <v>-75770.58</v>
      </c>
      <c r="M1395" t="s">
        <v>78</v>
      </c>
      <c r="N1395" t="s">
        <v>783</v>
      </c>
    </row>
    <row r="1396" spans="1:14" x14ac:dyDescent="0.25">
      <c r="A1396" s="18">
        <v>46066</v>
      </c>
      <c r="B1396" t="s">
        <v>289</v>
      </c>
      <c r="C1396" t="s">
        <v>742</v>
      </c>
      <c r="D1396" t="s">
        <v>50</v>
      </c>
      <c r="E1396" t="s">
        <v>743</v>
      </c>
      <c r="F1396" t="s">
        <v>21</v>
      </c>
      <c r="G1396">
        <v>8190</v>
      </c>
      <c r="H1396">
        <v>11.598100000000001</v>
      </c>
      <c r="I1396">
        <v>-94988.438999999998</v>
      </c>
      <c r="K1396">
        <v>11.598100000000001</v>
      </c>
      <c r="L1396">
        <v>-94988.438999999998</v>
      </c>
      <c r="M1396" t="s">
        <v>50</v>
      </c>
      <c r="N1396" t="s">
        <v>742</v>
      </c>
    </row>
    <row r="1397" spans="1:14" x14ac:dyDescent="0.25">
      <c r="A1397" s="18">
        <v>46066</v>
      </c>
      <c r="B1397" t="s">
        <v>319</v>
      </c>
      <c r="C1397" t="s">
        <v>771</v>
      </c>
      <c r="D1397" t="s">
        <v>89</v>
      </c>
      <c r="E1397" t="s">
        <v>90</v>
      </c>
      <c r="F1397" t="s">
        <v>21</v>
      </c>
      <c r="G1397">
        <v>-849</v>
      </c>
      <c r="H1397">
        <v>119.8428</v>
      </c>
      <c r="I1397">
        <v>101746.53719999999</v>
      </c>
      <c r="K1397">
        <v>119.8428</v>
      </c>
      <c r="L1397">
        <v>101746.53719999999</v>
      </c>
      <c r="M1397" t="s">
        <v>89</v>
      </c>
      <c r="N1397" t="s">
        <v>771</v>
      </c>
    </row>
    <row r="1398" spans="1:14" x14ac:dyDescent="0.25">
      <c r="A1398" s="18">
        <v>46069</v>
      </c>
      <c r="B1398" t="s">
        <v>319</v>
      </c>
      <c r="C1398" t="s">
        <v>785</v>
      </c>
      <c r="D1398" t="s">
        <v>786</v>
      </c>
      <c r="E1398" t="s">
        <v>787</v>
      </c>
      <c r="F1398" t="s">
        <v>21</v>
      </c>
      <c r="G1398">
        <v>-23</v>
      </c>
      <c r="H1398">
        <v>8351</v>
      </c>
      <c r="I1398">
        <v>1920730</v>
      </c>
      <c r="K1398">
        <v>8351</v>
      </c>
      <c r="L1398">
        <v>1920730</v>
      </c>
      <c r="M1398" t="s">
        <v>786</v>
      </c>
      <c r="N1398" t="s">
        <v>785</v>
      </c>
    </row>
    <row r="1399" spans="1:14" x14ac:dyDescent="0.25">
      <c r="A1399" s="18">
        <v>46069</v>
      </c>
      <c r="B1399" t="s">
        <v>289</v>
      </c>
      <c r="C1399" t="s">
        <v>747</v>
      </c>
      <c r="D1399" t="s">
        <v>748</v>
      </c>
      <c r="E1399" t="s">
        <v>749</v>
      </c>
      <c r="F1399" t="s">
        <v>21</v>
      </c>
      <c r="G1399">
        <v>23</v>
      </c>
      <c r="H1399">
        <v>8337</v>
      </c>
      <c r="I1399">
        <v>-1917510</v>
      </c>
      <c r="K1399">
        <v>8337</v>
      </c>
      <c r="L1399">
        <v>-1917510</v>
      </c>
      <c r="M1399" t="s">
        <v>748</v>
      </c>
      <c r="N1399" t="s">
        <v>747</v>
      </c>
    </row>
    <row r="1400" spans="1:14" x14ac:dyDescent="0.25">
      <c r="A1400" s="18">
        <v>46070</v>
      </c>
      <c r="B1400" t="s">
        <v>319</v>
      </c>
      <c r="C1400" t="s">
        <v>770</v>
      </c>
      <c r="D1400" t="s">
        <v>34</v>
      </c>
      <c r="E1400" t="s">
        <v>35</v>
      </c>
      <c r="F1400" t="s">
        <v>36</v>
      </c>
      <c r="G1400">
        <v>-1840</v>
      </c>
      <c r="H1400">
        <v>70.7</v>
      </c>
      <c r="I1400">
        <v>130088</v>
      </c>
      <c r="K1400">
        <v>70.7</v>
      </c>
      <c r="L1400">
        <v>130088</v>
      </c>
      <c r="M1400" t="s">
        <v>34</v>
      </c>
      <c r="N1400" t="s">
        <v>770</v>
      </c>
    </row>
    <row r="1401" spans="1:14" x14ac:dyDescent="0.25">
      <c r="A1401" s="18">
        <v>46070</v>
      </c>
      <c r="B1401" t="s">
        <v>289</v>
      </c>
      <c r="C1401" t="s">
        <v>326</v>
      </c>
      <c r="D1401" t="s">
        <v>327</v>
      </c>
      <c r="E1401" t="s">
        <v>251</v>
      </c>
      <c r="F1401" t="s">
        <v>21</v>
      </c>
      <c r="G1401">
        <v>1465</v>
      </c>
      <c r="H1401">
        <v>137.17500000000001</v>
      </c>
      <c r="I1401">
        <v>-200961.37500000003</v>
      </c>
      <c r="K1401">
        <v>137.17500000000001</v>
      </c>
      <c r="L1401">
        <v>-200961.37500000003</v>
      </c>
      <c r="M1401" t="s">
        <v>327</v>
      </c>
      <c r="N1401" t="s">
        <v>326</v>
      </c>
    </row>
    <row r="1402" spans="1:14" x14ac:dyDescent="0.25">
      <c r="A1402" s="18">
        <v>46070</v>
      </c>
      <c r="B1402" t="s">
        <v>319</v>
      </c>
      <c r="C1402" t="s">
        <v>777</v>
      </c>
      <c r="D1402" t="s">
        <v>778</v>
      </c>
      <c r="E1402" t="s">
        <v>779</v>
      </c>
      <c r="F1402" t="s">
        <v>82</v>
      </c>
      <c r="G1402">
        <v>-2196</v>
      </c>
      <c r="H1402">
        <v>69.240799999999993</v>
      </c>
      <c r="I1402">
        <v>152052.79679999998</v>
      </c>
      <c r="K1402">
        <v>69.240799999999993</v>
      </c>
      <c r="L1402">
        <v>152052.79679999998</v>
      </c>
      <c r="M1402" t="s">
        <v>778</v>
      </c>
      <c r="N1402" t="s">
        <v>777</v>
      </c>
    </row>
    <row r="1403" spans="1:14" x14ac:dyDescent="0.25">
      <c r="A1403" s="18">
        <v>46070</v>
      </c>
      <c r="B1403" t="s">
        <v>289</v>
      </c>
      <c r="C1403" t="s">
        <v>771</v>
      </c>
      <c r="D1403" t="s">
        <v>89</v>
      </c>
      <c r="E1403" t="s">
        <v>90</v>
      </c>
      <c r="F1403" t="s">
        <v>21</v>
      </c>
      <c r="G1403">
        <v>410</v>
      </c>
      <c r="H1403">
        <v>120.0973</v>
      </c>
      <c r="I1403">
        <v>-49239.893000000004</v>
      </c>
      <c r="K1403">
        <v>120.0973</v>
      </c>
      <c r="L1403">
        <v>-49239.893000000004</v>
      </c>
      <c r="M1403" t="s">
        <v>89</v>
      </c>
      <c r="N1403" t="s">
        <v>771</v>
      </c>
    </row>
    <row r="1404" spans="1:14" x14ac:dyDescent="0.25">
      <c r="A1404" s="18">
        <v>46070</v>
      </c>
      <c r="B1404" t="s">
        <v>289</v>
      </c>
      <c r="C1404" t="s">
        <v>325</v>
      </c>
      <c r="D1404" t="s">
        <v>47</v>
      </c>
      <c r="E1404" t="s">
        <v>48</v>
      </c>
      <c r="F1404" t="s">
        <v>36</v>
      </c>
      <c r="G1404">
        <v>660</v>
      </c>
      <c r="H1404">
        <v>91.323599999999999</v>
      </c>
      <c r="I1404">
        <v>-60273.576000000001</v>
      </c>
      <c r="K1404">
        <v>91.323599999999999</v>
      </c>
      <c r="L1404">
        <v>-60273.576000000001</v>
      </c>
      <c r="M1404" t="s">
        <v>47</v>
      </c>
      <c r="N1404" t="s">
        <v>325</v>
      </c>
    </row>
    <row r="1405" spans="1:14" x14ac:dyDescent="0.25">
      <c r="A1405" s="18">
        <v>46070</v>
      </c>
      <c r="B1405" t="s">
        <v>319</v>
      </c>
      <c r="C1405" t="s">
        <v>770</v>
      </c>
      <c r="D1405" t="s">
        <v>34</v>
      </c>
      <c r="E1405" t="s">
        <v>35</v>
      </c>
      <c r="F1405" t="s">
        <v>36</v>
      </c>
      <c r="G1405">
        <v>-1031</v>
      </c>
      <c r="H1405">
        <v>70.153700000000001</v>
      </c>
      <c r="I1405">
        <v>72328.464699999997</v>
      </c>
      <c r="K1405">
        <v>70.153700000000001</v>
      </c>
      <c r="L1405">
        <v>72328.464699999997</v>
      </c>
      <c r="M1405" t="s">
        <v>34</v>
      </c>
      <c r="N1405" t="s">
        <v>770</v>
      </c>
    </row>
    <row r="1406" spans="1:14" x14ac:dyDescent="0.25">
      <c r="A1406" s="18">
        <v>46070</v>
      </c>
      <c r="B1406" t="s">
        <v>289</v>
      </c>
      <c r="C1406" t="s">
        <v>325</v>
      </c>
      <c r="D1406" t="s">
        <v>47</v>
      </c>
      <c r="E1406" t="s">
        <v>48</v>
      </c>
      <c r="F1406" t="s">
        <v>36</v>
      </c>
      <c r="G1406">
        <v>780</v>
      </c>
      <c r="H1406">
        <v>90.9</v>
      </c>
      <c r="I1406">
        <v>-70902</v>
      </c>
      <c r="K1406">
        <v>90.9</v>
      </c>
      <c r="L1406">
        <v>-70902</v>
      </c>
      <c r="M1406" t="s">
        <v>47</v>
      </c>
      <c r="N1406" t="s">
        <v>325</v>
      </c>
    </row>
    <row r="1407" spans="1:14" x14ac:dyDescent="0.25">
      <c r="A1407" s="18">
        <v>46070</v>
      </c>
      <c r="B1407" t="s">
        <v>289</v>
      </c>
      <c r="C1407" t="s">
        <v>764</v>
      </c>
      <c r="D1407" t="s">
        <v>765</v>
      </c>
      <c r="E1407" t="s">
        <v>766</v>
      </c>
      <c r="F1407" t="s">
        <v>36</v>
      </c>
      <c r="G1407">
        <v>1161</v>
      </c>
      <c r="H1407">
        <v>35.242400000000004</v>
      </c>
      <c r="I1407">
        <v>-40916.426400000004</v>
      </c>
      <c r="K1407">
        <v>35.242400000000004</v>
      </c>
      <c r="L1407">
        <v>-40916.426400000004</v>
      </c>
      <c r="M1407" t="s">
        <v>765</v>
      </c>
      <c r="N1407" t="s">
        <v>764</v>
      </c>
    </row>
    <row r="1408" spans="1:14" x14ac:dyDescent="0.25">
      <c r="A1408" s="18">
        <v>46070</v>
      </c>
      <c r="B1408" t="s">
        <v>319</v>
      </c>
      <c r="C1408" t="s">
        <v>670</v>
      </c>
      <c r="D1408" t="s">
        <v>671</v>
      </c>
      <c r="E1408" t="s">
        <v>672</v>
      </c>
      <c r="F1408" t="s">
        <v>21</v>
      </c>
      <c r="G1408">
        <v>-729</v>
      </c>
      <c r="H1408">
        <v>137.1199</v>
      </c>
      <c r="I1408">
        <v>99960.407099999997</v>
      </c>
      <c r="K1408">
        <v>137.1199</v>
      </c>
      <c r="L1408">
        <v>99960.407099999997</v>
      </c>
      <c r="M1408" t="s">
        <v>671</v>
      </c>
      <c r="N1408" t="s">
        <v>670</v>
      </c>
    </row>
    <row r="1409" spans="1:14" x14ac:dyDescent="0.25">
      <c r="A1409" s="18">
        <v>46070</v>
      </c>
      <c r="B1409" t="s">
        <v>289</v>
      </c>
      <c r="C1409" t="s">
        <v>326</v>
      </c>
      <c r="D1409" t="s">
        <v>327</v>
      </c>
      <c r="E1409" t="s">
        <v>251</v>
      </c>
      <c r="F1409" t="s">
        <v>21</v>
      </c>
      <c r="G1409">
        <v>369</v>
      </c>
      <c r="H1409">
        <v>137.25</v>
      </c>
      <c r="I1409">
        <v>-50645.25</v>
      </c>
      <c r="K1409">
        <v>137.25</v>
      </c>
      <c r="L1409">
        <v>-50645.25</v>
      </c>
      <c r="M1409" t="s">
        <v>327</v>
      </c>
      <c r="N1409" t="s">
        <v>326</v>
      </c>
    </row>
    <row r="1410" spans="1:14" x14ac:dyDescent="0.25">
      <c r="A1410" s="18">
        <v>46071</v>
      </c>
      <c r="B1410" t="s">
        <v>289</v>
      </c>
      <c r="C1410" t="s">
        <v>325</v>
      </c>
      <c r="D1410" t="s">
        <v>47</v>
      </c>
      <c r="E1410" t="s">
        <v>48</v>
      </c>
      <c r="F1410" t="s">
        <v>36</v>
      </c>
      <c r="G1410">
        <v>1440</v>
      </c>
      <c r="H1410">
        <v>91.42</v>
      </c>
      <c r="I1410">
        <v>-131644.79999999999</v>
      </c>
      <c r="K1410">
        <v>91.419999999999987</v>
      </c>
      <c r="L1410">
        <v>-131644.79999999999</v>
      </c>
      <c r="M1410" t="s">
        <v>47</v>
      </c>
      <c r="N1410" t="s">
        <v>325</v>
      </c>
    </row>
    <row r="1411" spans="1:14" x14ac:dyDescent="0.25">
      <c r="A1411" s="18">
        <v>46071</v>
      </c>
      <c r="B1411" t="s">
        <v>289</v>
      </c>
      <c r="C1411" t="s">
        <v>619</v>
      </c>
      <c r="D1411" t="s">
        <v>620</v>
      </c>
      <c r="E1411" t="s">
        <v>621</v>
      </c>
      <c r="F1411" t="s">
        <v>21</v>
      </c>
      <c r="G1411">
        <v>310</v>
      </c>
      <c r="H1411">
        <v>234.55</v>
      </c>
      <c r="I1411">
        <v>-72710.5</v>
      </c>
      <c r="K1411">
        <v>234.55</v>
      </c>
      <c r="L1411">
        <v>-72710.5</v>
      </c>
      <c r="M1411" t="s">
        <v>620</v>
      </c>
      <c r="N1411" t="s">
        <v>619</v>
      </c>
    </row>
    <row r="1412" spans="1:14" x14ac:dyDescent="0.25">
      <c r="A1412" s="18">
        <v>46071</v>
      </c>
      <c r="B1412" t="s">
        <v>319</v>
      </c>
      <c r="C1412" t="s">
        <v>320</v>
      </c>
      <c r="D1412" t="s">
        <v>321</v>
      </c>
      <c r="E1412" t="s">
        <v>322</v>
      </c>
      <c r="F1412" t="s">
        <v>36</v>
      </c>
      <c r="G1412">
        <v>-8250</v>
      </c>
      <c r="H1412">
        <v>17.056699999999999</v>
      </c>
      <c r="I1412">
        <v>140717.77499999999</v>
      </c>
      <c r="K1412">
        <v>17.056699999999999</v>
      </c>
      <c r="L1412">
        <v>140717.77499999999</v>
      </c>
      <c r="M1412" t="s">
        <v>321</v>
      </c>
      <c r="N1412" t="s">
        <v>320</v>
      </c>
    </row>
    <row r="1413" spans="1:14" x14ac:dyDescent="0.25">
      <c r="A1413" s="18">
        <v>46071</v>
      </c>
      <c r="B1413" t="s">
        <v>289</v>
      </c>
      <c r="C1413" t="s">
        <v>744</v>
      </c>
      <c r="D1413" t="s">
        <v>56</v>
      </c>
      <c r="E1413" t="s">
        <v>745</v>
      </c>
      <c r="F1413" t="s">
        <v>21</v>
      </c>
      <c r="G1413">
        <v>3499</v>
      </c>
      <c r="H1413">
        <v>29.19</v>
      </c>
      <c r="I1413">
        <v>-102135.81</v>
      </c>
      <c r="K1413">
        <v>29.189999999999998</v>
      </c>
      <c r="L1413">
        <v>-102135.81</v>
      </c>
      <c r="M1413" t="s">
        <v>56</v>
      </c>
      <c r="N1413" t="s">
        <v>744</v>
      </c>
    </row>
    <row r="1414" spans="1:14" x14ac:dyDescent="0.25">
      <c r="A1414" s="18">
        <v>46071</v>
      </c>
      <c r="B1414" t="s">
        <v>289</v>
      </c>
      <c r="C1414" t="s">
        <v>742</v>
      </c>
      <c r="D1414" t="s">
        <v>50</v>
      </c>
      <c r="E1414" t="s">
        <v>743</v>
      </c>
      <c r="F1414" t="s">
        <v>21</v>
      </c>
      <c r="G1414">
        <v>8500</v>
      </c>
      <c r="H1414">
        <v>12.000400000000001</v>
      </c>
      <c r="I1414">
        <v>-102003.40000000001</v>
      </c>
      <c r="K1414">
        <v>12.000400000000001</v>
      </c>
      <c r="L1414">
        <v>-102003.40000000001</v>
      </c>
      <c r="M1414" t="s">
        <v>50</v>
      </c>
      <c r="N1414" t="s">
        <v>742</v>
      </c>
    </row>
    <row r="1415" spans="1:14" x14ac:dyDescent="0.25">
      <c r="A1415" s="18">
        <v>46071</v>
      </c>
      <c r="B1415" t="s">
        <v>289</v>
      </c>
      <c r="C1415" t="s">
        <v>325</v>
      </c>
      <c r="D1415" t="s">
        <v>47</v>
      </c>
      <c r="E1415" t="s">
        <v>48</v>
      </c>
      <c r="F1415" t="s">
        <v>36</v>
      </c>
      <c r="G1415">
        <v>955</v>
      </c>
      <c r="H1415">
        <v>91.1</v>
      </c>
      <c r="I1415">
        <v>-87000.5</v>
      </c>
      <c r="K1415">
        <v>91.1</v>
      </c>
      <c r="L1415">
        <v>-87000.5</v>
      </c>
      <c r="M1415" t="s">
        <v>47</v>
      </c>
      <c r="N1415" t="s">
        <v>325</v>
      </c>
    </row>
    <row r="1416" spans="1:14" x14ac:dyDescent="0.25">
      <c r="A1416" s="18">
        <v>46071</v>
      </c>
      <c r="B1416" t="s">
        <v>289</v>
      </c>
      <c r="C1416" t="s">
        <v>641</v>
      </c>
      <c r="D1416" t="s">
        <v>37</v>
      </c>
      <c r="E1416" t="s">
        <v>38</v>
      </c>
      <c r="F1416" t="s">
        <v>36</v>
      </c>
      <c r="G1416">
        <v>2950</v>
      </c>
      <c r="H1416">
        <v>22.190799999999999</v>
      </c>
      <c r="I1416">
        <v>-65462.86</v>
      </c>
      <c r="K1416">
        <v>22.190799999999999</v>
      </c>
      <c r="L1416">
        <v>-65462.86</v>
      </c>
      <c r="M1416" t="s">
        <v>37</v>
      </c>
      <c r="N1416" t="s">
        <v>641</v>
      </c>
    </row>
    <row r="1417" spans="1:14" x14ac:dyDescent="0.25">
      <c r="A1417" s="18">
        <v>46071</v>
      </c>
      <c r="B1417" t="s">
        <v>289</v>
      </c>
      <c r="C1417" t="s">
        <v>339</v>
      </c>
      <c r="D1417" t="s">
        <v>340</v>
      </c>
      <c r="E1417" t="s">
        <v>341</v>
      </c>
      <c r="F1417" t="s">
        <v>21</v>
      </c>
      <c r="G1417">
        <v>719</v>
      </c>
      <c r="H1417">
        <v>203.55109999999999</v>
      </c>
      <c r="I1417">
        <v>-146353.2409</v>
      </c>
      <c r="K1417">
        <v>203.55110000000002</v>
      </c>
      <c r="L1417">
        <v>-146353.2409</v>
      </c>
      <c r="M1417" t="s">
        <v>340</v>
      </c>
      <c r="N1417" t="s">
        <v>339</v>
      </c>
    </row>
    <row r="1418" spans="1:14" x14ac:dyDescent="0.25">
      <c r="A1418" s="18">
        <v>46072</v>
      </c>
      <c r="B1418" t="s">
        <v>319</v>
      </c>
      <c r="C1418" t="s">
        <v>714</v>
      </c>
      <c r="D1418" t="s">
        <v>715</v>
      </c>
      <c r="E1418" t="s">
        <v>716</v>
      </c>
      <c r="F1418" t="s">
        <v>21</v>
      </c>
      <c r="G1418">
        <v>-16</v>
      </c>
      <c r="H1418">
        <v>6094</v>
      </c>
      <c r="I1418">
        <v>975040</v>
      </c>
      <c r="K1418">
        <v>6094</v>
      </c>
      <c r="L1418">
        <v>975040</v>
      </c>
      <c r="M1418" t="s">
        <v>715</v>
      </c>
      <c r="N1418" t="s">
        <v>714</v>
      </c>
    </row>
    <row r="1419" spans="1:14" x14ac:dyDescent="0.25">
      <c r="A1419" s="18">
        <v>46072</v>
      </c>
      <c r="B1419" t="s">
        <v>319</v>
      </c>
      <c r="C1419" t="s">
        <v>670</v>
      </c>
      <c r="D1419" t="s">
        <v>671</v>
      </c>
      <c r="E1419" t="s">
        <v>672</v>
      </c>
      <c r="F1419" t="s">
        <v>21</v>
      </c>
      <c r="G1419">
        <v>-1597</v>
      </c>
      <c r="H1419">
        <v>133.9</v>
      </c>
      <c r="I1419">
        <v>213838.30000000002</v>
      </c>
      <c r="K1419">
        <v>133.9</v>
      </c>
      <c r="L1419">
        <v>213838.30000000002</v>
      </c>
      <c r="M1419" t="s">
        <v>671</v>
      </c>
      <c r="N1419" t="s">
        <v>670</v>
      </c>
    </row>
    <row r="1420" spans="1:14" x14ac:dyDescent="0.25">
      <c r="A1420" s="18">
        <v>46072</v>
      </c>
      <c r="B1420" t="s">
        <v>289</v>
      </c>
      <c r="C1420" t="s">
        <v>325</v>
      </c>
      <c r="D1420" t="s">
        <v>47</v>
      </c>
      <c r="E1420" t="s">
        <v>48</v>
      </c>
      <c r="F1420" t="s">
        <v>36</v>
      </c>
      <c r="G1420">
        <v>948</v>
      </c>
      <c r="H1420">
        <v>90.46</v>
      </c>
      <c r="I1420">
        <v>-85756.079999999987</v>
      </c>
      <c r="K1420">
        <v>90.45999999999998</v>
      </c>
      <c r="L1420">
        <v>-85756.079999999987</v>
      </c>
      <c r="M1420" t="s">
        <v>47</v>
      </c>
      <c r="N1420" t="s">
        <v>325</v>
      </c>
    </row>
    <row r="1421" spans="1:14" x14ac:dyDescent="0.25">
      <c r="A1421" s="18">
        <v>46072</v>
      </c>
      <c r="B1421" t="s">
        <v>289</v>
      </c>
      <c r="C1421" t="s">
        <v>323</v>
      </c>
      <c r="D1421" t="s">
        <v>39</v>
      </c>
      <c r="E1421" t="s">
        <v>40</v>
      </c>
      <c r="F1421" t="s">
        <v>36</v>
      </c>
      <c r="G1421">
        <v>1130</v>
      </c>
      <c r="H1421">
        <v>38.549799999999998</v>
      </c>
      <c r="I1421">
        <v>-43561.273999999998</v>
      </c>
      <c r="K1421">
        <v>38.549799999999998</v>
      </c>
      <c r="L1421">
        <v>-43561.273999999998</v>
      </c>
      <c r="M1421" t="s">
        <v>39</v>
      </c>
      <c r="N1421" t="s">
        <v>323</v>
      </c>
    </row>
    <row r="1422" spans="1:14" x14ac:dyDescent="0.25">
      <c r="A1422" s="18">
        <v>46072</v>
      </c>
      <c r="B1422" t="s">
        <v>289</v>
      </c>
      <c r="C1422" t="s">
        <v>311</v>
      </c>
      <c r="D1422" t="s">
        <v>312</v>
      </c>
      <c r="E1422" t="s">
        <v>313</v>
      </c>
      <c r="F1422" t="s">
        <v>21</v>
      </c>
      <c r="G1422">
        <v>290</v>
      </c>
      <c r="H1422">
        <v>341.4033</v>
      </c>
      <c r="I1422">
        <v>-99006.956999999995</v>
      </c>
      <c r="K1422">
        <v>341.4033</v>
      </c>
      <c r="L1422">
        <v>-99006.956999999995</v>
      </c>
      <c r="M1422" t="s">
        <v>312</v>
      </c>
      <c r="N1422" t="s">
        <v>311</v>
      </c>
    </row>
    <row r="1423" spans="1:14" x14ac:dyDescent="0.25">
      <c r="A1423" s="18">
        <v>46072</v>
      </c>
      <c r="B1423" t="s">
        <v>319</v>
      </c>
      <c r="C1423" t="s">
        <v>714</v>
      </c>
      <c r="D1423" t="s">
        <v>715</v>
      </c>
      <c r="E1423" t="s">
        <v>716</v>
      </c>
      <c r="F1423" t="s">
        <v>21</v>
      </c>
      <c r="G1423">
        <v>-8</v>
      </c>
      <c r="H1423">
        <v>6082</v>
      </c>
      <c r="I1423">
        <v>486560</v>
      </c>
      <c r="K1423">
        <v>6082</v>
      </c>
      <c r="L1423">
        <v>486560</v>
      </c>
      <c r="M1423" t="s">
        <v>715</v>
      </c>
      <c r="N1423" t="s">
        <v>714</v>
      </c>
    </row>
    <row r="1424" spans="1:14" x14ac:dyDescent="0.25">
      <c r="A1424" s="18">
        <v>46072</v>
      </c>
      <c r="B1424" t="s">
        <v>289</v>
      </c>
      <c r="C1424" t="s">
        <v>325</v>
      </c>
      <c r="D1424" t="s">
        <v>47</v>
      </c>
      <c r="E1424" t="s">
        <v>48</v>
      </c>
      <c r="F1424" t="s">
        <v>36</v>
      </c>
      <c r="G1424">
        <v>668</v>
      </c>
      <c r="H1424">
        <v>90.8</v>
      </c>
      <c r="I1424">
        <v>-60654.400000000001</v>
      </c>
      <c r="K1424">
        <v>90.8</v>
      </c>
      <c r="L1424">
        <v>-60654.400000000001</v>
      </c>
      <c r="M1424" t="s">
        <v>47</v>
      </c>
      <c r="N1424" t="s">
        <v>325</v>
      </c>
    </row>
    <row r="1425" spans="1:14" x14ac:dyDescent="0.25">
      <c r="A1425" s="18">
        <v>46072</v>
      </c>
      <c r="B1425" t="s">
        <v>289</v>
      </c>
      <c r="C1425" t="s">
        <v>301</v>
      </c>
      <c r="D1425" t="s">
        <v>120</v>
      </c>
      <c r="E1425" t="s">
        <v>363</v>
      </c>
      <c r="F1425" t="s">
        <v>21</v>
      </c>
      <c r="G1425">
        <v>280</v>
      </c>
      <c r="H1425">
        <v>387.86500000000001</v>
      </c>
      <c r="I1425">
        <v>-108602.2</v>
      </c>
      <c r="K1425">
        <v>387.86500000000001</v>
      </c>
      <c r="L1425">
        <v>-108602.2</v>
      </c>
      <c r="M1425" t="s">
        <v>120</v>
      </c>
      <c r="N1425" t="s">
        <v>301</v>
      </c>
    </row>
    <row r="1426" spans="1:14" x14ac:dyDescent="0.25">
      <c r="A1426" s="18">
        <v>46072</v>
      </c>
      <c r="B1426" t="s">
        <v>319</v>
      </c>
      <c r="C1426" t="s">
        <v>702</v>
      </c>
      <c r="D1426" t="s">
        <v>703</v>
      </c>
      <c r="E1426" t="s">
        <v>704</v>
      </c>
      <c r="F1426" t="s">
        <v>21</v>
      </c>
      <c r="G1426">
        <v>-750</v>
      </c>
      <c r="H1426">
        <v>188.05</v>
      </c>
      <c r="I1426">
        <v>141037.5</v>
      </c>
      <c r="K1426">
        <v>188.05</v>
      </c>
      <c r="L1426">
        <v>141037.5</v>
      </c>
      <c r="M1426" t="s">
        <v>703</v>
      </c>
      <c r="N1426" t="s">
        <v>702</v>
      </c>
    </row>
    <row r="1427" spans="1:14" x14ac:dyDescent="0.25">
      <c r="A1427" s="18">
        <v>46072</v>
      </c>
      <c r="B1427" t="s">
        <v>289</v>
      </c>
      <c r="C1427" t="s">
        <v>311</v>
      </c>
      <c r="D1427" t="s">
        <v>312</v>
      </c>
      <c r="E1427" t="s">
        <v>313</v>
      </c>
      <c r="F1427" t="s">
        <v>21</v>
      </c>
      <c r="G1427">
        <v>217</v>
      </c>
      <c r="H1427">
        <v>341.4</v>
      </c>
      <c r="I1427">
        <v>-74083.799999999988</v>
      </c>
      <c r="K1427">
        <v>341.39999999999992</v>
      </c>
      <c r="L1427">
        <v>-74083.799999999988</v>
      </c>
      <c r="M1427" t="s">
        <v>312</v>
      </c>
      <c r="N1427" t="s">
        <v>311</v>
      </c>
    </row>
    <row r="1428" spans="1:14" x14ac:dyDescent="0.25">
      <c r="A1428" s="18">
        <v>46072</v>
      </c>
      <c r="B1428" t="s">
        <v>289</v>
      </c>
      <c r="C1428" t="s">
        <v>325</v>
      </c>
      <c r="D1428" t="s">
        <v>47</v>
      </c>
      <c r="E1428" t="s">
        <v>48</v>
      </c>
      <c r="F1428" t="s">
        <v>36</v>
      </c>
      <c r="G1428">
        <v>475</v>
      </c>
      <c r="H1428">
        <v>90.54</v>
      </c>
      <c r="I1428">
        <v>-43006.5</v>
      </c>
      <c r="K1428">
        <v>90.54</v>
      </c>
      <c r="L1428">
        <v>-43006.5</v>
      </c>
      <c r="M1428" t="s">
        <v>47</v>
      </c>
      <c r="N1428" t="s">
        <v>325</v>
      </c>
    </row>
    <row r="1429" spans="1:14" x14ac:dyDescent="0.25">
      <c r="A1429" s="18">
        <v>46072</v>
      </c>
      <c r="B1429" t="s">
        <v>319</v>
      </c>
      <c r="C1429" t="s">
        <v>702</v>
      </c>
      <c r="D1429" t="s">
        <v>703</v>
      </c>
      <c r="E1429" t="s">
        <v>704</v>
      </c>
      <c r="F1429" t="s">
        <v>21</v>
      </c>
      <c r="G1429">
        <v>-500</v>
      </c>
      <c r="H1429">
        <v>186.67859999999999</v>
      </c>
      <c r="I1429">
        <v>93339.299999999988</v>
      </c>
      <c r="K1429">
        <v>186.67859999999999</v>
      </c>
      <c r="L1429">
        <v>93339.299999999988</v>
      </c>
      <c r="M1429" t="s">
        <v>703</v>
      </c>
      <c r="N1429" t="s">
        <v>702</v>
      </c>
    </row>
    <row r="1430" spans="1:14" x14ac:dyDescent="0.25">
      <c r="A1430" s="18">
        <v>46072</v>
      </c>
      <c r="B1430" t="s">
        <v>289</v>
      </c>
      <c r="C1430" t="s">
        <v>318</v>
      </c>
      <c r="D1430" t="s">
        <v>22</v>
      </c>
      <c r="E1430" t="s">
        <v>23</v>
      </c>
      <c r="F1430" t="s">
        <v>21</v>
      </c>
      <c r="G1430">
        <v>980</v>
      </c>
      <c r="H1430">
        <v>25.708500000000001</v>
      </c>
      <c r="I1430">
        <v>-25194.33</v>
      </c>
      <c r="K1430">
        <v>25.708500000000001</v>
      </c>
      <c r="L1430">
        <v>-25194.33</v>
      </c>
      <c r="M1430" t="s">
        <v>22</v>
      </c>
      <c r="N1430" t="s">
        <v>318</v>
      </c>
    </row>
    <row r="1431" spans="1:14" x14ac:dyDescent="0.25">
      <c r="A1431" s="18">
        <v>46072</v>
      </c>
      <c r="B1431" t="s">
        <v>289</v>
      </c>
      <c r="C1431" t="s">
        <v>548</v>
      </c>
      <c r="D1431" t="s">
        <v>549</v>
      </c>
      <c r="E1431" t="s">
        <v>550</v>
      </c>
      <c r="F1431" t="s">
        <v>21</v>
      </c>
      <c r="G1431">
        <v>12500</v>
      </c>
      <c r="H1431">
        <v>3.9106000000000001</v>
      </c>
      <c r="I1431">
        <v>-48882.5</v>
      </c>
      <c r="K1431">
        <v>3.9106000000000001</v>
      </c>
      <c r="L1431">
        <v>-48882.5</v>
      </c>
      <c r="M1431" t="s">
        <v>549</v>
      </c>
      <c r="N1431" t="s">
        <v>548</v>
      </c>
    </row>
    <row r="1432" spans="1:14" x14ac:dyDescent="0.25">
      <c r="A1432" s="18">
        <v>46072</v>
      </c>
      <c r="B1432" t="s">
        <v>289</v>
      </c>
      <c r="C1432" t="s">
        <v>325</v>
      </c>
      <c r="D1432" t="s">
        <v>47</v>
      </c>
      <c r="E1432" t="s">
        <v>48</v>
      </c>
      <c r="F1432" t="s">
        <v>36</v>
      </c>
      <c r="G1432">
        <v>950</v>
      </c>
      <c r="H1432">
        <v>92.106300000000005</v>
      </c>
      <c r="I1432">
        <v>-87500.985000000001</v>
      </c>
      <c r="K1432">
        <v>92.106300000000005</v>
      </c>
      <c r="L1432">
        <v>-87500.985000000001</v>
      </c>
      <c r="M1432" t="s">
        <v>47</v>
      </c>
      <c r="N1432" t="s">
        <v>325</v>
      </c>
    </row>
    <row r="1433" spans="1:14" x14ac:dyDescent="0.25">
      <c r="A1433" s="18">
        <v>46072</v>
      </c>
      <c r="B1433" t="s">
        <v>319</v>
      </c>
      <c r="C1433" t="s">
        <v>744</v>
      </c>
      <c r="D1433" t="s">
        <v>56</v>
      </c>
      <c r="E1433" t="s">
        <v>745</v>
      </c>
      <c r="F1433" t="s">
        <v>21</v>
      </c>
      <c r="G1433">
        <v>-3450</v>
      </c>
      <c r="H1433">
        <v>28.837900000000001</v>
      </c>
      <c r="I1433">
        <v>99490.755000000005</v>
      </c>
      <c r="K1433">
        <v>28.837900000000001</v>
      </c>
      <c r="L1433">
        <v>99490.755000000005</v>
      </c>
      <c r="M1433" t="s">
        <v>56</v>
      </c>
      <c r="N1433" t="s">
        <v>744</v>
      </c>
    </row>
    <row r="1434" spans="1:14" x14ac:dyDescent="0.25">
      <c r="A1434" s="18">
        <v>46072</v>
      </c>
      <c r="B1434" t="s">
        <v>319</v>
      </c>
      <c r="C1434" t="s">
        <v>314</v>
      </c>
      <c r="D1434" t="s">
        <v>315</v>
      </c>
      <c r="E1434" t="s">
        <v>362</v>
      </c>
      <c r="F1434" t="s">
        <v>21</v>
      </c>
      <c r="G1434">
        <v>-4800</v>
      </c>
      <c r="H1434">
        <v>26.585999999999999</v>
      </c>
      <c r="I1434">
        <v>127612.79999999999</v>
      </c>
      <c r="K1434">
        <v>26.585999999999999</v>
      </c>
      <c r="L1434">
        <v>127612.79999999999</v>
      </c>
      <c r="M1434" t="s">
        <v>315</v>
      </c>
      <c r="N1434" t="s">
        <v>314</v>
      </c>
    </row>
    <row r="1435" spans="1:14" x14ac:dyDescent="0.25">
      <c r="A1435" s="18">
        <v>46073</v>
      </c>
      <c r="B1435" t="s">
        <v>289</v>
      </c>
      <c r="C1435" t="s">
        <v>339</v>
      </c>
      <c r="D1435" t="s">
        <v>340</v>
      </c>
      <c r="E1435" t="s">
        <v>341</v>
      </c>
      <c r="F1435" t="s">
        <v>21</v>
      </c>
      <c r="G1435">
        <v>730</v>
      </c>
      <c r="H1435">
        <v>206.8</v>
      </c>
      <c r="I1435">
        <v>-150964</v>
      </c>
      <c r="K1435">
        <v>206.8</v>
      </c>
      <c r="L1435">
        <v>-150964</v>
      </c>
      <c r="M1435" t="s">
        <v>340</v>
      </c>
      <c r="N1435" t="s">
        <v>339</v>
      </c>
    </row>
    <row r="1436" spans="1:14" x14ac:dyDescent="0.25">
      <c r="A1436" s="18">
        <v>46073</v>
      </c>
      <c r="B1436" t="s">
        <v>319</v>
      </c>
      <c r="C1436" t="s">
        <v>318</v>
      </c>
      <c r="D1436" t="s">
        <v>22</v>
      </c>
      <c r="E1436" t="s">
        <v>23</v>
      </c>
      <c r="F1436" t="s">
        <v>21</v>
      </c>
      <c r="G1436">
        <v>-7200</v>
      </c>
      <c r="H1436">
        <v>23.8294</v>
      </c>
      <c r="I1436">
        <v>171571.68</v>
      </c>
      <c r="K1436">
        <v>23.8294</v>
      </c>
      <c r="L1436">
        <v>171571.68</v>
      </c>
      <c r="M1436" t="s">
        <v>22</v>
      </c>
      <c r="N1436" t="s">
        <v>318</v>
      </c>
    </row>
    <row r="1437" spans="1:14" x14ac:dyDescent="0.25">
      <c r="A1437" s="18">
        <v>46073</v>
      </c>
      <c r="B1437" t="s">
        <v>319</v>
      </c>
      <c r="C1437" t="s">
        <v>758</v>
      </c>
      <c r="D1437" t="s">
        <v>759</v>
      </c>
      <c r="E1437" t="s">
        <v>760</v>
      </c>
      <c r="F1437" t="s">
        <v>21</v>
      </c>
      <c r="G1437">
        <v>-3430</v>
      </c>
      <c r="H1437">
        <v>43.598300000000002</v>
      </c>
      <c r="I1437">
        <v>149542.16899999999</v>
      </c>
      <c r="K1437">
        <v>43.598300000000002</v>
      </c>
      <c r="L1437">
        <v>149542.16899999999</v>
      </c>
      <c r="M1437" t="s">
        <v>759</v>
      </c>
      <c r="N1437" t="s">
        <v>758</v>
      </c>
    </row>
    <row r="1438" spans="1:14" x14ac:dyDescent="0.25">
      <c r="A1438" s="18">
        <v>46073</v>
      </c>
      <c r="B1438" t="s">
        <v>289</v>
      </c>
      <c r="C1438" t="s">
        <v>311</v>
      </c>
      <c r="D1438" t="s">
        <v>312</v>
      </c>
      <c r="E1438" t="s">
        <v>313</v>
      </c>
      <c r="F1438" t="s">
        <v>21</v>
      </c>
      <c r="G1438">
        <v>150</v>
      </c>
      <c r="H1438">
        <v>341.166</v>
      </c>
      <c r="I1438">
        <v>-51174.9</v>
      </c>
      <c r="K1438">
        <v>341.166</v>
      </c>
      <c r="L1438">
        <v>-51174.9</v>
      </c>
      <c r="M1438" t="s">
        <v>312</v>
      </c>
      <c r="N1438" t="s">
        <v>311</v>
      </c>
    </row>
    <row r="1439" spans="1:14" x14ac:dyDescent="0.25">
      <c r="A1439" s="18">
        <v>46073</v>
      </c>
      <c r="B1439" t="s">
        <v>289</v>
      </c>
      <c r="C1439" t="s">
        <v>380</v>
      </c>
      <c r="D1439" t="s">
        <v>381</v>
      </c>
      <c r="E1439" t="s">
        <v>382</v>
      </c>
      <c r="F1439" t="s">
        <v>21</v>
      </c>
      <c r="G1439">
        <v>100</v>
      </c>
      <c r="H1439">
        <v>2076.3694999999998</v>
      </c>
      <c r="I1439">
        <v>-207636.94999999998</v>
      </c>
      <c r="K1439">
        <v>2076.3694999999998</v>
      </c>
      <c r="L1439">
        <v>-207636.94999999998</v>
      </c>
      <c r="M1439" t="s">
        <v>381</v>
      </c>
      <c r="N1439" t="s">
        <v>380</v>
      </c>
    </row>
    <row r="1440" spans="1:14" x14ac:dyDescent="0.25">
      <c r="A1440" s="18">
        <v>46073</v>
      </c>
      <c r="B1440" t="s">
        <v>289</v>
      </c>
      <c r="C1440" t="s">
        <v>316</v>
      </c>
      <c r="D1440" t="s">
        <v>317</v>
      </c>
      <c r="E1440" t="s">
        <v>274</v>
      </c>
      <c r="F1440" t="s">
        <v>21</v>
      </c>
      <c r="G1440">
        <v>2900</v>
      </c>
      <c r="H1440">
        <v>62.62</v>
      </c>
      <c r="I1440">
        <v>-181598</v>
      </c>
      <c r="K1440">
        <v>62.62</v>
      </c>
      <c r="L1440">
        <v>-181598</v>
      </c>
      <c r="M1440" t="s">
        <v>317</v>
      </c>
      <c r="N1440" t="s">
        <v>316</v>
      </c>
    </row>
    <row r="1441" spans="1:14" x14ac:dyDescent="0.25">
      <c r="A1441" s="18">
        <v>46073</v>
      </c>
      <c r="B1441" t="s">
        <v>289</v>
      </c>
      <c r="C1441" t="s">
        <v>582</v>
      </c>
      <c r="D1441" t="s">
        <v>83</v>
      </c>
      <c r="E1441" t="s">
        <v>583</v>
      </c>
      <c r="F1441" t="s">
        <v>82</v>
      </c>
      <c r="G1441">
        <v>1440</v>
      </c>
      <c r="H1441">
        <v>160.62809999999999</v>
      </c>
      <c r="I1441">
        <v>-231304.46399999998</v>
      </c>
      <c r="K1441">
        <v>160.62809999999999</v>
      </c>
      <c r="L1441">
        <v>-231304.46399999998</v>
      </c>
      <c r="M1441" t="s">
        <v>83</v>
      </c>
      <c r="N1441" t="s">
        <v>582</v>
      </c>
    </row>
    <row r="1442" spans="1:14" x14ac:dyDescent="0.25">
      <c r="A1442" s="18">
        <v>46073</v>
      </c>
      <c r="B1442" t="s">
        <v>289</v>
      </c>
      <c r="C1442" t="s">
        <v>318</v>
      </c>
      <c r="D1442" t="s">
        <v>22</v>
      </c>
      <c r="E1442" t="s">
        <v>23</v>
      </c>
      <c r="F1442" t="s">
        <v>21</v>
      </c>
      <c r="G1442">
        <v>4000</v>
      </c>
      <c r="H1442">
        <v>23.671700000000001</v>
      </c>
      <c r="I1442">
        <v>-94686.8</v>
      </c>
      <c r="K1442">
        <v>23.671700000000001</v>
      </c>
      <c r="L1442">
        <v>-94686.8</v>
      </c>
      <c r="M1442" t="s">
        <v>22</v>
      </c>
      <c r="N1442" t="s">
        <v>318</v>
      </c>
    </row>
    <row r="1443" spans="1:14" x14ac:dyDescent="0.25">
      <c r="A1443" s="18">
        <v>46073</v>
      </c>
      <c r="B1443" t="s">
        <v>319</v>
      </c>
      <c r="C1443" t="s">
        <v>708</v>
      </c>
      <c r="D1443" t="s">
        <v>709</v>
      </c>
      <c r="E1443" t="s">
        <v>710</v>
      </c>
      <c r="F1443" t="s">
        <v>21</v>
      </c>
      <c r="G1443">
        <v>-14050</v>
      </c>
      <c r="H1443">
        <v>17.795000000000002</v>
      </c>
      <c r="I1443">
        <v>250019.75000000003</v>
      </c>
      <c r="K1443">
        <v>17.795000000000002</v>
      </c>
      <c r="L1443">
        <v>250019.75000000003</v>
      </c>
      <c r="M1443" t="s">
        <v>709</v>
      </c>
      <c r="N1443" t="s">
        <v>708</v>
      </c>
    </row>
    <row r="1444" spans="1:14" x14ac:dyDescent="0.25">
      <c r="A1444" s="18">
        <v>46073</v>
      </c>
      <c r="B1444" t="s">
        <v>289</v>
      </c>
      <c r="C1444" t="s">
        <v>291</v>
      </c>
      <c r="D1444" t="s">
        <v>292</v>
      </c>
      <c r="E1444" t="s">
        <v>293</v>
      </c>
      <c r="F1444" t="s">
        <v>21</v>
      </c>
      <c r="G1444">
        <v>87700</v>
      </c>
      <c r="H1444">
        <v>1.6906000000000001</v>
      </c>
      <c r="I1444">
        <v>-148265.62</v>
      </c>
      <c r="K1444">
        <v>1.6905999999999999</v>
      </c>
      <c r="L1444">
        <v>-148265.62</v>
      </c>
      <c r="M1444" t="s">
        <v>292</v>
      </c>
      <c r="N1444" t="s">
        <v>291</v>
      </c>
    </row>
    <row r="1445" spans="1:14" x14ac:dyDescent="0.25">
      <c r="A1445" s="18">
        <v>46073</v>
      </c>
      <c r="B1445" t="s">
        <v>289</v>
      </c>
      <c r="C1445" t="s">
        <v>339</v>
      </c>
      <c r="D1445" t="s">
        <v>340</v>
      </c>
      <c r="E1445" t="s">
        <v>341</v>
      </c>
      <c r="F1445" t="s">
        <v>21</v>
      </c>
      <c r="G1445">
        <v>250</v>
      </c>
      <c r="H1445">
        <v>208.7</v>
      </c>
      <c r="I1445">
        <v>-52175</v>
      </c>
      <c r="K1445">
        <v>208.7</v>
      </c>
      <c r="L1445">
        <v>-52175</v>
      </c>
      <c r="M1445" t="s">
        <v>340</v>
      </c>
      <c r="N1445" t="s">
        <v>339</v>
      </c>
    </row>
    <row r="1446" spans="1:14" x14ac:dyDescent="0.25">
      <c r="A1446" s="18">
        <v>46073</v>
      </c>
      <c r="B1446" t="s">
        <v>289</v>
      </c>
      <c r="C1446" t="s">
        <v>325</v>
      </c>
      <c r="D1446" t="s">
        <v>47</v>
      </c>
      <c r="E1446" t="s">
        <v>48</v>
      </c>
      <c r="F1446" t="s">
        <v>36</v>
      </c>
      <c r="G1446">
        <v>470</v>
      </c>
      <c r="H1446">
        <v>94.273600000000002</v>
      </c>
      <c r="I1446">
        <v>-44308.592000000004</v>
      </c>
      <c r="K1446">
        <v>94.273600000000002</v>
      </c>
      <c r="L1446">
        <v>-44308.592000000004</v>
      </c>
      <c r="M1446" t="s">
        <v>47</v>
      </c>
      <c r="N1446" t="s">
        <v>325</v>
      </c>
    </row>
    <row r="1447" spans="1:14" x14ac:dyDescent="0.25">
      <c r="A1447" s="18">
        <v>46073</v>
      </c>
      <c r="B1447" t="s">
        <v>319</v>
      </c>
      <c r="C1447" t="s">
        <v>548</v>
      </c>
      <c r="D1447" t="s">
        <v>549</v>
      </c>
      <c r="E1447" t="s">
        <v>550</v>
      </c>
      <c r="F1447" t="s">
        <v>21</v>
      </c>
      <c r="G1447">
        <v>-43000</v>
      </c>
      <c r="H1447">
        <v>3.7995000000000001</v>
      </c>
      <c r="I1447">
        <v>163378.5</v>
      </c>
      <c r="K1447">
        <v>3.7995000000000001</v>
      </c>
      <c r="L1447">
        <v>163378.5</v>
      </c>
      <c r="M1447" t="s">
        <v>549</v>
      </c>
      <c r="N1447" t="s">
        <v>548</v>
      </c>
    </row>
    <row r="1448" spans="1:14" x14ac:dyDescent="0.25">
      <c r="A1448" s="18">
        <v>46073</v>
      </c>
      <c r="B1448" t="s">
        <v>289</v>
      </c>
      <c r="C1448" t="s">
        <v>641</v>
      </c>
      <c r="D1448" t="s">
        <v>37</v>
      </c>
      <c r="E1448" t="s">
        <v>38</v>
      </c>
      <c r="F1448" t="s">
        <v>36</v>
      </c>
      <c r="G1448">
        <v>1930</v>
      </c>
      <c r="H1448">
        <v>23.003399999999999</v>
      </c>
      <c r="I1448">
        <v>-44396.561999999998</v>
      </c>
      <c r="K1448">
        <v>23.003399999999999</v>
      </c>
      <c r="L1448">
        <v>-44396.561999999998</v>
      </c>
      <c r="M1448" t="s">
        <v>37</v>
      </c>
      <c r="N1448" t="s">
        <v>641</v>
      </c>
    </row>
    <row r="1449" spans="1:14" x14ac:dyDescent="0.25">
      <c r="A1449" s="18">
        <v>46073</v>
      </c>
      <c r="B1449" t="s">
        <v>289</v>
      </c>
      <c r="C1449" t="s">
        <v>619</v>
      </c>
      <c r="D1449" t="s">
        <v>620</v>
      </c>
      <c r="E1449" t="s">
        <v>621</v>
      </c>
      <c r="F1449" t="s">
        <v>21</v>
      </c>
      <c r="G1449">
        <v>217</v>
      </c>
      <c r="H1449">
        <v>232.68799999999999</v>
      </c>
      <c r="I1449">
        <v>-50493.295999999995</v>
      </c>
      <c r="K1449">
        <v>232.68799999999999</v>
      </c>
      <c r="L1449">
        <v>-50493.295999999995</v>
      </c>
      <c r="M1449" t="s">
        <v>620</v>
      </c>
      <c r="N1449" t="s">
        <v>619</v>
      </c>
    </row>
    <row r="1450" spans="1:14" x14ac:dyDescent="0.25">
      <c r="A1450" s="18">
        <v>46073</v>
      </c>
      <c r="B1450" t="s">
        <v>319</v>
      </c>
      <c r="C1450" t="s">
        <v>708</v>
      </c>
      <c r="D1450" t="s">
        <v>709</v>
      </c>
      <c r="E1450" t="s">
        <v>710</v>
      </c>
      <c r="F1450" t="s">
        <v>21</v>
      </c>
      <c r="G1450">
        <v>-5620</v>
      </c>
      <c r="H1450">
        <v>17.7806</v>
      </c>
      <c r="I1450">
        <v>99926.971999999994</v>
      </c>
      <c r="K1450">
        <v>17.7806</v>
      </c>
      <c r="L1450">
        <v>99926.971999999994</v>
      </c>
      <c r="M1450" t="s">
        <v>709</v>
      </c>
      <c r="N1450" t="s">
        <v>708</v>
      </c>
    </row>
    <row r="1451" spans="1:14" x14ac:dyDescent="0.25">
      <c r="A1451" s="18">
        <v>46073</v>
      </c>
      <c r="B1451" t="s">
        <v>289</v>
      </c>
      <c r="C1451" t="s">
        <v>325</v>
      </c>
      <c r="D1451" t="s">
        <v>47</v>
      </c>
      <c r="E1451" t="s">
        <v>48</v>
      </c>
      <c r="F1451" t="s">
        <v>36</v>
      </c>
      <c r="G1451">
        <v>470</v>
      </c>
      <c r="H1451">
        <v>92.74</v>
      </c>
      <c r="I1451">
        <v>-43587.799999999996</v>
      </c>
      <c r="K1451">
        <v>92.74</v>
      </c>
      <c r="L1451">
        <v>-43587.799999999996</v>
      </c>
      <c r="M1451" t="s">
        <v>47</v>
      </c>
      <c r="N1451" t="s">
        <v>325</v>
      </c>
    </row>
    <row r="1452" spans="1:14" x14ac:dyDescent="0.25">
      <c r="A1452" s="18">
        <v>46073</v>
      </c>
      <c r="B1452" t="s">
        <v>289</v>
      </c>
      <c r="C1452" t="s">
        <v>450</v>
      </c>
      <c r="D1452" t="s">
        <v>116</v>
      </c>
      <c r="E1452" t="s">
        <v>451</v>
      </c>
      <c r="F1452" t="s">
        <v>21</v>
      </c>
      <c r="G1452">
        <v>20000</v>
      </c>
      <c r="H1452">
        <v>6.2560000000000002</v>
      </c>
      <c r="I1452">
        <v>-125120</v>
      </c>
      <c r="K1452">
        <v>6.2560000000000002</v>
      </c>
      <c r="L1452">
        <v>-125120</v>
      </c>
      <c r="M1452" t="s">
        <v>116</v>
      </c>
      <c r="N1452" t="s">
        <v>450</v>
      </c>
    </row>
    <row r="1453" spans="1:14" x14ac:dyDescent="0.25">
      <c r="A1453" s="18">
        <v>46073</v>
      </c>
      <c r="B1453" t="s">
        <v>289</v>
      </c>
      <c r="C1453" t="s">
        <v>700</v>
      </c>
      <c r="D1453" t="s">
        <v>68</v>
      </c>
      <c r="E1453" t="s">
        <v>701</v>
      </c>
      <c r="F1453" t="s">
        <v>49</v>
      </c>
      <c r="G1453">
        <v>470</v>
      </c>
      <c r="H1453">
        <v>120.2764</v>
      </c>
      <c r="I1453">
        <v>-56529.907999999996</v>
      </c>
      <c r="K1453">
        <v>120.2764</v>
      </c>
      <c r="L1453">
        <v>-56529.907999999996</v>
      </c>
      <c r="M1453" t="s">
        <v>68</v>
      </c>
      <c r="N1453" t="s">
        <v>700</v>
      </c>
    </row>
    <row r="1454" spans="1:14" x14ac:dyDescent="0.25">
      <c r="A1454" s="18">
        <v>46073</v>
      </c>
      <c r="B1454" t="s">
        <v>319</v>
      </c>
      <c r="C1454" t="s">
        <v>548</v>
      </c>
      <c r="D1454" t="s">
        <v>549</v>
      </c>
      <c r="E1454" t="s">
        <v>550</v>
      </c>
      <c r="F1454" t="s">
        <v>21</v>
      </c>
      <c r="G1454">
        <v>-13200</v>
      </c>
      <c r="H1454">
        <v>3.8820000000000001</v>
      </c>
      <c r="I1454">
        <v>51242.400000000001</v>
      </c>
      <c r="K1454">
        <v>3.8820000000000001</v>
      </c>
      <c r="L1454">
        <v>51242.400000000001</v>
      </c>
      <c r="M1454" t="s">
        <v>549</v>
      </c>
      <c r="N1454" t="s">
        <v>548</v>
      </c>
    </row>
    <row r="1455" spans="1:14" x14ac:dyDescent="0.25">
      <c r="A1455" s="18">
        <v>46073</v>
      </c>
      <c r="B1455" t="s">
        <v>319</v>
      </c>
      <c r="C1455" t="s">
        <v>342</v>
      </c>
      <c r="D1455" t="s">
        <v>343</v>
      </c>
      <c r="E1455" t="s">
        <v>282</v>
      </c>
      <c r="F1455" t="s">
        <v>21</v>
      </c>
      <c r="G1455">
        <v>-1500</v>
      </c>
      <c r="H1455">
        <v>90.020899999999997</v>
      </c>
      <c r="I1455">
        <v>135031.35</v>
      </c>
      <c r="K1455">
        <v>90.020899999999997</v>
      </c>
      <c r="L1455">
        <v>135031.35</v>
      </c>
      <c r="M1455" t="s">
        <v>343</v>
      </c>
      <c r="N1455" t="s">
        <v>342</v>
      </c>
    </row>
    <row r="1456" spans="1:14" x14ac:dyDescent="0.25">
      <c r="A1456" s="18">
        <v>46073</v>
      </c>
      <c r="B1456" t="s">
        <v>289</v>
      </c>
      <c r="C1456" t="s">
        <v>780</v>
      </c>
      <c r="D1456" t="s">
        <v>781</v>
      </c>
      <c r="E1456" t="s">
        <v>782</v>
      </c>
      <c r="F1456" t="s">
        <v>21</v>
      </c>
      <c r="G1456">
        <v>1620</v>
      </c>
      <c r="H1456">
        <v>30.9252</v>
      </c>
      <c r="I1456">
        <v>-50098.824000000001</v>
      </c>
      <c r="K1456">
        <v>30.9252</v>
      </c>
      <c r="L1456">
        <v>-50098.824000000001</v>
      </c>
      <c r="M1456" t="s">
        <v>781</v>
      </c>
      <c r="N1456" t="s">
        <v>780</v>
      </c>
    </row>
    <row r="1457" spans="1:14" x14ac:dyDescent="0.25">
      <c r="A1457" s="18">
        <v>46076</v>
      </c>
      <c r="B1457" t="s">
        <v>289</v>
      </c>
      <c r="C1457" t="s">
        <v>702</v>
      </c>
      <c r="D1457" t="s">
        <v>703</v>
      </c>
      <c r="E1457" t="s">
        <v>704</v>
      </c>
      <c r="F1457" t="s">
        <v>21</v>
      </c>
      <c r="G1457">
        <v>264</v>
      </c>
      <c r="H1457">
        <v>186.4128</v>
      </c>
      <c r="I1457">
        <v>-49212.979200000002</v>
      </c>
      <c r="K1457">
        <v>186.4128</v>
      </c>
      <c r="L1457">
        <v>-49212.979200000002</v>
      </c>
      <c r="M1457" t="s">
        <v>703</v>
      </c>
      <c r="N1457" t="s">
        <v>702</v>
      </c>
    </row>
    <row r="1458" spans="1:14" x14ac:dyDescent="0.25">
      <c r="A1458" s="18">
        <v>46076</v>
      </c>
      <c r="B1458" t="s">
        <v>319</v>
      </c>
      <c r="C1458" t="s">
        <v>318</v>
      </c>
      <c r="D1458" t="s">
        <v>22</v>
      </c>
      <c r="E1458" t="s">
        <v>23</v>
      </c>
      <c r="F1458" t="s">
        <v>21</v>
      </c>
      <c r="G1458">
        <v>-6380</v>
      </c>
      <c r="H1458">
        <v>23.200199999999999</v>
      </c>
      <c r="I1458">
        <v>148017.27599999998</v>
      </c>
      <c r="K1458">
        <v>23.200199999999999</v>
      </c>
      <c r="L1458">
        <v>148017.27599999998</v>
      </c>
      <c r="M1458" t="s">
        <v>22</v>
      </c>
      <c r="N1458" t="s">
        <v>318</v>
      </c>
    </row>
    <row r="1459" spans="1:14" x14ac:dyDescent="0.25">
      <c r="A1459" s="18">
        <v>46076</v>
      </c>
      <c r="B1459" t="s">
        <v>289</v>
      </c>
      <c r="C1459" t="s">
        <v>380</v>
      </c>
      <c r="D1459" t="s">
        <v>381</v>
      </c>
      <c r="E1459" t="s">
        <v>382</v>
      </c>
      <c r="F1459" t="s">
        <v>21</v>
      </c>
      <c r="G1459">
        <v>48</v>
      </c>
      <c r="H1459">
        <v>2105.1042000000002</v>
      </c>
      <c r="I1459">
        <v>-101045.00160000002</v>
      </c>
      <c r="K1459">
        <v>2105.1042000000002</v>
      </c>
      <c r="L1459">
        <v>-101045.00160000002</v>
      </c>
      <c r="M1459" t="s">
        <v>381</v>
      </c>
      <c r="N1459" t="s">
        <v>380</v>
      </c>
    </row>
    <row r="1460" spans="1:14" x14ac:dyDescent="0.25">
      <c r="A1460" s="18">
        <v>46076</v>
      </c>
      <c r="B1460" t="s">
        <v>319</v>
      </c>
      <c r="C1460" t="s">
        <v>342</v>
      </c>
      <c r="D1460" t="s">
        <v>343</v>
      </c>
      <c r="E1460" t="s">
        <v>282</v>
      </c>
      <c r="F1460" t="s">
        <v>21</v>
      </c>
      <c r="G1460">
        <v>-1109</v>
      </c>
      <c r="H1460">
        <v>89.091099999999997</v>
      </c>
      <c r="I1460">
        <v>98802.029899999994</v>
      </c>
      <c r="K1460">
        <v>89.091099999999997</v>
      </c>
      <c r="L1460">
        <v>98802.029899999994</v>
      </c>
      <c r="M1460" t="s">
        <v>343</v>
      </c>
      <c r="N1460" t="s">
        <v>342</v>
      </c>
    </row>
    <row r="1461" spans="1:14" x14ac:dyDescent="0.25">
      <c r="A1461" s="18">
        <v>46076</v>
      </c>
      <c r="B1461" t="s">
        <v>289</v>
      </c>
      <c r="C1461" t="s">
        <v>788</v>
      </c>
      <c r="D1461" t="s">
        <v>789</v>
      </c>
      <c r="E1461" t="s">
        <v>790</v>
      </c>
      <c r="F1461" t="s">
        <v>36</v>
      </c>
      <c r="G1461">
        <v>18</v>
      </c>
      <c r="H1461">
        <v>92.39</v>
      </c>
      <c r="I1461">
        <v>-1663020</v>
      </c>
      <c r="K1461">
        <v>92.39</v>
      </c>
      <c r="L1461">
        <v>-1663020</v>
      </c>
      <c r="M1461" t="s">
        <v>789</v>
      </c>
      <c r="N1461" t="s">
        <v>788</v>
      </c>
    </row>
    <row r="1462" spans="1:14" x14ac:dyDescent="0.25">
      <c r="A1462" s="18">
        <v>46076</v>
      </c>
      <c r="B1462" t="s">
        <v>319</v>
      </c>
      <c r="C1462" t="s">
        <v>661</v>
      </c>
      <c r="D1462" t="s">
        <v>662</v>
      </c>
      <c r="E1462" t="s">
        <v>663</v>
      </c>
      <c r="F1462" t="s">
        <v>36</v>
      </c>
      <c r="G1462">
        <v>-18</v>
      </c>
      <c r="H1462">
        <v>92.48</v>
      </c>
      <c r="I1462">
        <v>1664640</v>
      </c>
      <c r="K1462">
        <v>92.48</v>
      </c>
      <c r="L1462">
        <v>1664640</v>
      </c>
      <c r="M1462" t="s">
        <v>662</v>
      </c>
      <c r="N1462" t="s">
        <v>661</v>
      </c>
    </row>
    <row r="1463" spans="1:14" x14ac:dyDescent="0.25">
      <c r="A1463" s="18">
        <v>46076</v>
      </c>
      <c r="B1463" t="s">
        <v>319</v>
      </c>
      <c r="C1463" t="s">
        <v>775</v>
      </c>
      <c r="D1463" t="s">
        <v>126</v>
      </c>
      <c r="E1463" t="s">
        <v>776</v>
      </c>
      <c r="F1463" t="s">
        <v>21</v>
      </c>
      <c r="G1463">
        <v>-9000</v>
      </c>
      <c r="H1463">
        <v>117.91</v>
      </c>
      <c r="I1463">
        <v>1061190</v>
      </c>
      <c r="K1463">
        <v>117.91</v>
      </c>
      <c r="L1463">
        <v>1061190</v>
      </c>
      <c r="M1463" t="s">
        <v>126</v>
      </c>
      <c r="N1463" t="s">
        <v>775</v>
      </c>
    </row>
    <row r="1464" spans="1:14" x14ac:dyDescent="0.25">
      <c r="A1464" s="18">
        <v>46076</v>
      </c>
      <c r="B1464" t="s">
        <v>289</v>
      </c>
      <c r="C1464" t="s">
        <v>328</v>
      </c>
      <c r="D1464" t="s">
        <v>329</v>
      </c>
      <c r="E1464" t="s">
        <v>330</v>
      </c>
      <c r="F1464" t="s">
        <v>21</v>
      </c>
      <c r="G1464">
        <v>29</v>
      </c>
      <c r="H1464">
        <v>1695</v>
      </c>
      <c r="I1464">
        <v>-49155</v>
      </c>
      <c r="K1464">
        <v>1695</v>
      </c>
      <c r="L1464">
        <v>-49155</v>
      </c>
      <c r="M1464" t="s">
        <v>329</v>
      </c>
      <c r="N1464" t="s">
        <v>328</v>
      </c>
    </row>
    <row r="1465" spans="1:14" x14ac:dyDescent="0.25">
      <c r="A1465" s="18">
        <v>46076</v>
      </c>
      <c r="B1465" t="s">
        <v>289</v>
      </c>
      <c r="C1465" t="s">
        <v>291</v>
      </c>
      <c r="D1465" t="s">
        <v>292</v>
      </c>
      <c r="E1465" t="s">
        <v>293</v>
      </c>
      <c r="F1465" t="s">
        <v>21</v>
      </c>
      <c r="G1465">
        <v>44000</v>
      </c>
      <c r="H1465">
        <v>1.6817</v>
      </c>
      <c r="I1465">
        <v>-73994.8</v>
      </c>
      <c r="K1465">
        <v>1.6817</v>
      </c>
      <c r="L1465">
        <v>-73994.8</v>
      </c>
      <c r="M1465" t="s">
        <v>292</v>
      </c>
      <c r="N1465" t="s">
        <v>291</v>
      </c>
    </row>
    <row r="1466" spans="1:14" x14ac:dyDescent="0.25">
      <c r="A1466" s="18">
        <v>46076</v>
      </c>
      <c r="B1466" t="s">
        <v>319</v>
      </c>
      <c r="C1466" t="s">
        <v>708</v>
      </c>
      <c r="D1466" t="s">
        <v>709</v>
      </c>
      <c r="E1466" t="s">
        <v>710</v>
      </c>
      <c r="F1466" t="s">
        <v>21</v>
      </c>
      <c r="G1466">
        <v>-5600</v>
      </c>
      <c r="H1466">
        <v>17.8</v>
      </c>
      <c r="I1466">
        <v>99680</v>
      </c>
      <c r="K1466">
        <v>17.8</v>
      </c>
      <c r="L1466">
        <v>99680</v>
      </c>
      <c r="M1466" t="s">
        <v>709</v>
      </c>
      <c r="N1466" t="s">
        <v>708</v>
      </c>
    </row>
    <row r="1467" spans="1:14" x14ac:dyDescent="0.25">
      <c r="A1467" s="18">
        <v>46076</v>
      </c>
      <c r="B1467" t="s">
        <v>289</v>
      </c>
      <c r="C1467" t="s">
        <v>325</v>
      </c>
      <c r="D1467" t="s">
        <v>47</v>
      </c>
      <c r="E1467" t="s">
        <v>48</v>
      </c>
      <c r="F1467" t="s">
        <v>36</v>
      </c>
      <c r="G1467">
        <v>468</v>
      </c>
      <c r="H1467">
        <v>91.402199999999993</v>
      </c>
      <c r="I1467">
        <v>-42776.229599999999</v>
      </c>
      <c r="K1467">
        <v>91.402199999999993</v>
      </c>
      <c r="L1467">
        <v>-42776.229599999999</v>
      </c>
      <c r="M1467" t="s">
        <v>47</v>
      </c>
      <c r="N1467" t="s">
        <v>325</v>
      </c>
    </row>
    <row r="1468" spans="1:14" x14ac:dyDescent="0.25">
      <c r="A1468" s="18">
        <v>46076</v>
      </c>
      <c r="B1468" t="s">
        <v>289</v>
      </c>
      <c r="C1468" t="s">
        <v>328</v>
      </c>
      <c r="D1468" t="s">
        <v>329</v>
      </c>
      <c r="E1468" t="s">
        <v>330</v>
      </c>
      <c r="F1468" t="s">
        <v>21</v>
      </c>
      <c r="G1468">
        <v>17</v>
      </c>
      <c r="H1468">
        <v>1698.5</v>
      </c>
      <c r="I1468">
        <v>-28874.5</v>
      </c>
      <c r="K1468">
        <v>1698.5</v>
      </c>
      <c r="L1468">
        <v>-28874.5</v>
      </c>
      <c r="M1468" t="s">
        <v>329</v>
      </c>
      <c r="N1468" t="s">
        <v>328</v>
      </c>
    </row>
    <row r="1469" spans="1:14" x14ac:dyDescent="0.25">
      <c r="A1469" s="18">
        <v>46076</v>
      </c>
      <c r="B1469" t="s">
        <v>319</v>
      </c>
      <c r="C1469" t="s">
        <v>435</v>
      </c>
      <c r="D1469" t="s">
        <v>99</v>
      </c>
      <c r="E1469" t="s">
        <v>100</v>
      </c>
      <c r="F1469" t="s">
        <v>21</v>
      </c>
      <c r="G1469">
        <v>-7000</v>
      </c>
      <c r="H1469">
        <v>10.9269</v>
      </c>
      <c r="I1469">
        <v>76488.3</v>
      </c>
      <c r="K1469">
        <v>10.9269</v>
      </c>
      <c r="L1469">
        <v>76488.3</v>
      </c>
      <c r="M1469" t="s">
        <v>99</v>
      </c>
      <c r="N1469" t="s">
        <v>435</v>
      </c>
    </row>
    <row r="1470" spans="1:14" x14ac:dyDescent="0.25">
      <c r="A1470" s="18">
        <v>46076</v>
      </c>
      <c r="B1470" t="s">
        <v>289</v>
      </c>
      <c r="C1470" t="s">
        <v>700</v>
      </c>
      <c r="D1470" t="s">
        <v>68</v>
      </c>
      <c r="E1470" t="s">
        <v>701</v>
      </c>
      <c r="F1470" t="s">
        <v>49</v>
      </c>
      <c r="G1470">
        <v>400</v>
      </c>
      <c r="H1470">
        <v>123.6965</v>
      </c>
      <c r="I1470">
        <v>-49478.6</v>
      </c>
      <c r="K1470">
        <v>123.6965</v>
      </c>
      <c r="L1470">
        <v>-49478.6</v>
      </c>
      <c r="M1470" t="s">
        <v>68</v>
      </c>
      <c r="N1470" t="s">
        <v>700</v>
      </c>
    </row>
    <row r="1471" spans="1:14" x14ac:dyDescent="0.25">
      <c r="A1471" s="18">
        <v>46076</v>
      </c>
      <c r="B1471" t="s">
        <v>289</v>
      </c>
      <c r="C1471" t="s">
        <v>325</v>
      </c>
      <c r="D1471" t="s">
        <v>47</v>
      </c>
      <c r="E1471" t="s">
        <v>48</v>
      </c>
      <c r="F1471" t="s">
        <v>49</v>
      </c>
      <c r="G1471">
        <v>292</v>
      </c>
      <c r="H1471">
        <v>121.28</v>
      </c>
      <c r="I1471">
        <v>-35413.760000000002</v>
      </c>
      <c r="K1471">
        <v>121.28</v>
      </c>
      <c r="L1471">
        <v>-35413.760000000002</v>
      </c>
      <c r="M1471" t="s">
        <v>47</v>
      </c>
      <c r="N1471" t="s">
        <v>325</v>
      </c>
    </row>
    <row r="1472" spans="1:14" x14ac:dyDescent="0.25">
      <c r="A1472" s="18">
        <v>46077</v>
      </c>
      <c r="B1472" t="s">
        <v>289</v>
      </c>
      <c r="C1472" t="s">
        <v>744</v>
      </c>
      <c r="D1472" t="s">
        <v>56</v>
      </c>
      <c r="E1472" t="s">
        <v>745</v>
      </c>
      <c r="F1472" t="s">
        <v>21</v>
      </c>
      <c r="G1472">
        <v>1710</v>
      </c>
      <c r="H1472">
        <v>28.45</v>
      </c>
      <c r="I1472">
        <v>-48649.5</v>
      </c>
      <c r="K1472">
        <v>28.45</v>
      </c>
      <c r="L1472">
        <v>-48649.5</v>
      </c>
      <c r="M1472" t="s">
        <v>56</v>
      </c>
      <c r="N1472" t="s">
        <v>744</v>
      </c>
    </row>
    <row r="1473" spans="1:14" x14ac:dyDescent="0.25">
      <c r="A1473" s="18">
        <v>46077</v>
      </c>
      <c r="B1473" t="s">
        <v>289</v>
      </c>
      <c r="C1473" t="s">
        <v>311</v>
      </c>
      <c r="D1473" t="s">
        <v>312</v>
      </c>
      <c r="E1473" t="s">
        <v>313</v>
      </c>
      <c r="F1473" t="s">
        <v>21</v>
      </c>
      <c r="G1473">
        <v>145</v>
      </c>
      <c r="H1473">
        <v>341.2</v>
      </c>
      <c r="I1473">
        <v>-49474</v>
      </c>
      <c r="K1473">
        <v>341.2</v>
      </c>
      <c r="L1473">
        <v>-49474</v>
      </c>
      <c r="M1473" t="s">
        <v>312</v>
      </c>
      <c r="N1473" t="s">
        <v>311</v>
      </c>
    </row>
    <row r="1474" spans="1:14" x14ac:dyDescent="0.25">
      <c r="A1474" s="18">
        <v>46077</v>
      </c>
      <c r="B1474" t="s">
        <v>319</v>
      </c>
      <c r="C1474" t="s">
        <v>641</v>
      </c>
      <c r="D1474" t="s">
        <v>37</v>
      </c>
      <c r="E1474" t="s">
        <v>38</v>
      </c>
      <c r="F1474" t="s">
        <v>36</v>
      </c>
      <c r="G1474">
        <v>-3900</v>
      </c>
      <c r="H1474">
        <v>22.12</v>
      </c>
      <c r="I1474">
        <v>86268</v>
      </c>
      <c r="K1474">
        <v>22.12</v>
      </c>
      <c r="L1474">
        <v>86268</v>
      </c>
      <c r="M1474" t="s">
        <v>37</v>
      </c>
      <c r="N1474" t="s">
        <v>641</v>
      </c>
    </row>
    <row r="1475" spans="1:14" x14ac:dyDescent="0.25">
      <c r="A1475" s="18">
        <v>46077</v>
      </c>
      <c r="B1475" t="s">
        <v>289</v>
      </c>
      <c r="C1475" t="s">
        <v>435</v>
      </c>
      <c r="D1475" t="s">
        <v>99</v>
      </c>
      <c r="E1475" t="s">
        <v>100</v>
      </c>
      <c r="F1475" t="s">
        <v>21</v>
      </c>
      <c r="G1475">
        <v>4590</v>
      </c>
      <c r="H1475">
        <v>10.603999999999999</v>
      </c>
      <c r="I1475">
        <v>-48672.359999999993</v>
      </c>
      <c r="K1475">
        <v>10.603999999999999</v>
      </c>
      <c r="L1475">
        <v>-48672.359999999993</v>
      </c>
      <c r="M1475" t="s">
        <v>99</v>
      </c>
      <c r="N1475" t="s">
        <v>435</v>
      </c>
    </row>
    <row r="1476" spans="1:14" x14ac:dyDescent="0.25">
      <c r="A1476" s="18">
        <v>46077</v>
      </c>
      <c r="B1476" t="s">
        <v>289</v>
      </c>
      <c r="C1476" t="s">
        <v>742</v>
      </c>
      <c r="D1476" t="s">
        <v>50</v>
      </c>
      <c r="E1476" t="s">
        <v>743</v>
      </c>
      <c r="F1476" t="s">
        <v>21</v>
      </c>
      <c r="G1476">
        <v>4050</v>
      </c>
      <c r="H1476">
        <v>12.0299</v>
      </c>
      <c r="I1476">
        <v>-48721.095000000001</v>
      </c>
      <c r="K1476">
        <v>12.0299</v>
      </c>
      <c r="L1476">
        <v>-48721.095000000001</v>
      </c>
      <c r="M1476" t="s">
        <v>50</v>
      </c>
      <c r="N1476" t="s">
        <v>742</v>
      </c>
    </row>
    <row r="1477" spans="1:14" x14ac:dyDescent="0.25">
      <c r="A1477" s="18">
        <v>46077</v>
      </c>
      <c r="B1477" t="s">
        <v>319</v>
      </c>
      <c r="C1477" t="s">
        <v>339</v>
      </c>
      <c r="D1477" t="s">
        <v>340</v>
      </c>
      <c r="E1477" t="s">
        <v>341</v>
      </c>
      <c r="F1477" t="s">
        <v>21</v>
      </c>
      <c r="G1477">
        <v>-494</v>
      </c>
      <c r="H1477">
        <v>201.53989999999999</v>
      </c>
      <c r="I1477">
        <v>99560.710599999991</v>
      </c>
      <c r="K1477">
        <v>201.53989999999999</v>
      </c>
      <c r="L1477">
        <v>99560.710599999991</v>
      </c>
      <c r="M1477" t="s">
        <v>340</v>
      </c>
      <c r="N1477" t="s">
        <v>339</v>
      </c>
    </row>
    <row r="1478" spans="1:14" x14ac:dyDescent="0.25">
      <c r="A1478" s="18">
        <v>46077</v>
      </c>
      <c r="B1478" t="s">
        <v>289</v>
      </c>
      <c r="C1478" t="s">
        <v>325</v>
      </c>
      <c r="D1478" t="s">
        <v>47</v>
      </c>
      <c r="E1478" t="s">
        <v>48</v>
      </c>
      <c r="F1478" t="s">
        <v>36</v>
      </c>
      <c r="G1478">
        <v>290</v>
      </c>
      <c r="H1478">
        <v>89.1006</v>
      </c>
      <c r="I1478">
        <v>-25839.173999999999</v>
      </c>
      <c r="K1478">
        <v>89.1006</v>
      </c>
      <c r="L1478">
        <v>-25839.173999999999</v>
      </c>
      <c r="M1478" t="s">
        <v>47</v>
      </c>
      <c r="N1478" t="s">
        <v>325</v>
      </c>
    </row>
    <row r="1479" spans="1:14" x14ac:dyDescent="0.25">
      <c r="A1479" s="18">
        <v>46077</v>
      </c>
      <c r="B1479" t="s">
        <v>319</v>
      </c>
      <c r="C1479" t="s">
        <v>325</v>
      </c>
      <c r="D1479" t="s">
        <v>47</v>
      </c>
      <c r="E1479" t="s">
        <v>48</v>
      </c>
      <c r="F1479" t="s">
        <v>49</v>
      </c>
      <c r="G1479">
        <v>-292</v>
      </c>
      <c r="H1479">
        <v>120.20650000000001</v>
      </c>
      <c r="I1479">
        <v>35100.298000000003</v>
      </c>
      <c r="K1479">
        <v>120.20650000000001</v>
      </c>
      <c r="L1479">
        <v>35100.298000000003</v>
      </c>
      <c r="M1479" t="s">
        <v>47</v>
      </c>
      <c r="N1479" t="s">
        <v>325</v>
      </c>
    </row>
    <row r="1480" spans="1:14" x14ac:dyDescent="0.25">
      <c r="A1480" s="18">
        <v>46077</v>
      </c>
      <c r="B1480" t="s">
        <v>319</v>
      </c>
      <c r="C1480" t="s">
        <v>772</v>
      </c>
      <c r="D1480" t="s">
        <v>773</v>
      </c>
      <c r="E1480" t="s">
        <v>774</v>
      </c>
      <c r="F1480" t="s">
        <v>21</v>
      </c>
      <c r="G1480">
        <v>-4500</v>
      </c>
      <c r="H1480">
        <v>113.15309999999999</v>
      </c>
      <c r="I1480">
        <v>509188.94999999995</v>
      </c>
      <c r="K1480">
        <v>113.15309999999999</v>
      </c>
      <c r="L1480">
        <v>509188.94999999995</v>
      </c>
      <c r="M1480" t="s">
        <v>773</v>
      </c>
      <c r="N1480" t="s">
        <v>772</v>
      </c>
    </row>
    <row r="1481" spans="1:14" x14ac:dyDescent="0.25">
      <c r="A1481" s="18">
        <v>46078</v>
      </c>
      <c r="B1481" t="s">
        <v>289</v>
      </c>
      <c r="C1481" t="s">
        <v>316</v>
      </c>
      <c r="D1481" t="s">
        <v>317</v>
      </c>
      <c r="E1481" t="s">
        <v>274</v>
      </c>
      <c r="F1481" t="s">
        <v>21</v>
      </c>
      <c r="G1481">
        <v>1570</v>
      </c>
      <c r="H1481">
        <v>62.684100000000001</v>
      </c>
      <c r="I1481">
        <v>-98414.036999999997</v>
      </c>
      <c r="K1481">
        <v>62.684100000000001</v>
      </c>
      <c r="L1481">
        <v>-98414.036999999997</v>
      </c>
      <c r="M1481" t="s">
        <v>317</v>
      </c>
      <c r="N1481" t="s">
        <v>316</v>
      </c>
    </row>
    <row r="1482" spans="1:14" x14ac:dyDescent="0.25">
      <c r="A1482" s="18">
        <v>46078</v>
      </c>
      <c r="B1482" t="s">
        <v>319</v>
      </c>
      <c r="C1482" t="s">
        <v>311</v>
      </c>
      <c r="D1482" t="s">
        <v>312</v>
      </c>
      <c r="E1482" t="s">
        <v>313</v>
      </c>
      <c r="F1482" t="s">
        <v>21</v>
      </c>
      <c r="G1482">
        <v>-441</v>
      </c>
      <c r="H1482">
        <v>341.91250000000002</v>
      </c>
      <c r="I1482">
        <v>150783.41250000001</v>
      </c>
      <c r="K1482">
        <v>341.91250000000002</v>
      </c>
      <c r="L1482">
        <v>150783.41250000001</v>
      </c>
      <c r="M1482" t="s">
        <v>312</v>
      </c>
      <c r="N1482" t="s">
        <v>311</v>
      </c>
    </row>
    <row r="1483" spans="1:14" x14ac:dyDescent="0.25">
      <c r="A1483" s="18">
        <v>46078</v>
      </c>
      <c r="B1483" t="s">
        <v>319</v>
      </c>
      <c r="C1483" t="s">
        <v>720</v>
      </c>
      <c r="D1483" t="s">
        <v>721</v>
      </c>
      <c r="E1483" t="s">
        <v>722</v>
      </c>
      <c r="F1483" t="s">
        <v>49</v>
      </c>
      <c r="G1483">
        <v>-1</v>
      </c>
      <c r="H1483">
        <v>25326.75</v>
      </c>
      <c r="I1483">
        <v>506535</v>
      </c>
      <c r="K1483">
        <v>25326.75</v>
      </c>
      <c r="L1483">
        <v>506535</v>
      </c>
      <c r="M1483" t="s">
        <v>721</v>
      </c>
      <c r="N1483" t="s">
        <v>720</v>
      </c>
    </row>
    <row r="1484" spans="1:14" x14ac:dyDescent="0.25">
      <c r="A1484" s="18">
        <v>46078</v>
      </c>
      <c r="B1484" t="s">
        <v>289</v>
      </c>
      <c r="C1484" t="s">
        <v>493</v>
      </c>
      <c r="D1484" t="s">
        <v>28</v>
      </c>
      <c r="E1484" t="s">
        <v>29</v>
      </c>
      <c r="F1484" t="s">
        <v>21</v>
      </c>
      <c r="G1484">
        <v>580</v>
      </c>
      <c r="H1484">
        <v>263.98</v>
      </c>
      <c r="I1484">
        <v>-153108.40000000002</v>
      </c>
      <c r="K1484">
        <v>263.98</v>
      </c>
      <c r="L1484">
        <v>-153108.40000000002</v>
      </c>
      <c r="M1484" t="s">
        <v>28</v>
      </c>
      <c r="N1484" t="s">
        <v>493</v>
      </c>
    </row>
    <row r="1485" spans="1:14" x14ac:dyDescent="0.25">
      <c r="A1485" s="18">
        <v>46078</v>
      </c>
      <c r="B1485" t="s">
        <v>319</v>
      </c>
      <c r="C1485" t="s">
        <v>732</v>
      </c>
      <c r="D1485" t="s">
        <v>64</v>
      </c>
      <c r="E1485" t="s">
        <v>65</v>
      </c>
      <c r="F1485" t="s">
        <v>49</v>
      </c>
      <c r="G1485">
        <v>-104</v>
      </c>
      <c r="H1485">
        <v>1039.5</v>
      </c>
      <c r="I1485">
        <v>108108</v>
      </c>
      <c r="K1485">
        <v>1039.5</v>
      </c>
      <c r="L1485">
        <v>108108</v>
      </c>
      <c r="M1485" t="s">
        <v>64</v>
      </c>
      <c r="N1485" t="s">
        <v>732</v>
      </c>
    </row>
    <row r="1486" spans="1:14" x14ac:dyDescent="0.25">
      <c r="A1486" s="18">
        <v>46078</v>
      </c>
      <c r="B1486" t="s">
        <v>289</v>
      </c>
      <c r="C1486" t="s">
        <v>700</v>
      </c>
      <c r="D1486" t="s">
        <v>68</v>
      </c>
      <c r="E1486" t="s">
        <v>701</v>
      </c>
      <c r="F1486" t="s">
        <v>49</v>
      </c>
      <c r="G1486">
        <v>480</v>
      </c>
      <c r="H1486">
        <v>125.62479999999999</v>
      </c>
      <c r="I1486">
        <v>-60299.903999999995</v>
      </c>
      <c r="K1486">
        <v>125.62479999999999</v>
      </c>
      <c r="L1486">
        <v>-60299.903999999995</v>
      </c>
      <c r="M1486" t="s">
        <v>68</v>
      </c>
      <c r="N1486" t="s">
        <v>700</v>
      </c>
    </row>
    <row r="1487" spans="1:14" x14ac:dyDescent="0.25">
      <c r="A1487" s="18">
        <v>46078</v>
      </c>
      <c r="B1487" t="s">
        <v>319</v>
      </c>
      <c r="C1487" t="s">
        <v>325</v>
      </c>
      <c r="D1487" t="s">
        <v>47</v>
      </c>
      <c r="E1487" t="s">
        <v>48</v>
      </c>
      <c r="F1487" t="s">
        <v>36</v>
      </c>
      <c r="G1487">
        <v>-1460</v>
      </c>
      <c r="H1487">
        <v>88.94</v>
      </c>
      <c r="I1487">
        <v>129852.4</v>
      </c>
      <c r="K1487">
        <v>88.94</v>
      </c>
      <c r="L1487">
        <v>129852.4</v>
      </c>
      <c r="M1487" t="s">
        <v>47</v>
      </c>
      <c r="N1487" t="s">
        <v>325</v>
      </c>
    </row>
    <row r="1488" spans="1:14" x14ac:dyDescent="0.25">
      <c r="A1488" s="18">
        <v>46078</v>
      </c>
      <c r="B1488" t="s">
        <v>289</v>
      </c>
      <c r="C1488" t="s">
        <v>582</v>
      </c>
      <c r="D1488" t="s">
        <v>83</v>
      </c>
      <c r="E1488" t="s">
        <v>583</v>
      </c>
      <c r="F1488" t="s">
        <v>82</v>
      </c>
      <c r="G1488">
        <v>280</v>
      </c>
      <c r="H1488">
        <v>159.0403</v>
      </c>
      <c r="I1488">
        <v>-44531.284</v>
      </c>
      <c r="K1488">
        <v>159.0403</v>
      </c>
      <c r="L1488">
        <v>-44531.284</v>
      </c>
      <c r="M1488" t="s">
        <v>83</v>
      </c>
      <c r="N1488" t="s">
        <v>582</v>
      </c>
    </row>
    <row r="1489" spans="1:14" x14ac:dyDescent="0.25">
      <c r="A1489" s="18">
        <v>46079</v>
      </c>
      <c r="B1489" t="s">
        <v>289</v>
      </c>
      <c r="C1489" t="s">
        <v>750</v>
      </c>
      <c r="D1489" t="s">
        <v>751</v>
      </c>
      <c r="E1489" t="s">
        <v>752</v>
      </c>
      <c r="F1489" t="s">
        <v>82</v>
      </c>
      <c r="G1489">
        <v>213</v>
      </c>
      <c r="H1489">
        <v>639.20000000000005</v>
      </c>
      <c r="I1489">
        <v>-136149.6</v>
      </c>
      <c r="K1489">
        <v>639.20000000000005</v>
      </c>
      <c r="L1489">
        <v>-136149.6</v>
      </c>
      <c r="M1489" t="s">
        <v>751</v>
      </c>
      <c r="N1489" t="s">
        <v>750</v>
      </c>
    </row>
    <row r="1490" spans="1:14" x14ac:dyDescent="0.25">
      <c r="A1490" s="18">
        <v>46079</v>
      </c>
      <c r="B1490" t="s">
        <v>319</v>
      </c>
      <c r="C1490" t="s">
        <v>772</v>
      </c>
      <c r="D1490" t="s">
        <v>773</v>
      </c>
      <c r="E1490" t="s">
        <v>774</v>
      </c>
      <c r="F1490" t="s">
        <v>21</v>
      </c>
      <c r="G1490">
        <v>-4500</v>
      </c>
      <c r="H1490">
        <v>113.17</v>
      </c>
      <c r="I1490">
        <v>509265</v>
      </c>
      <c r="K1490">
        <v>113.17</v>
      </c>
      <c r="L1490">
        <v>509265</v>
      </c>
      <c r="M1490" t="s">
        <v>773</v>
      </c>
      <c r="N1490" t="s">
        <v>772</v>
      </c>
    </row>
    <row r="1491" spans="1:14" x14ac:dyDescent="0.25">
      <c r="A1491" s="18">
        <v>46079</v>
      </c>
      <c r="B1491" t="s">
        <v>289</v>
      </c>
      <c r="C1491" t="s">
        <v>746</v>
      </c>
      <c r="D1491" t="s">
        <v>52</v>
      </c>
      <c r="E1491" t="s">
        <v>53</v>
      </c>
      <c r="F1491" t="s">
        <v>21</v>
      </c>
      <c r="G1491">
        <v>890</v>
      </c>
      <c r="H1491">
        <v>55.52</v>
      </c>
      <c r="I1491">
        <v>-49412.800000000003</v>
      </c>
      <c r="K1491">
        <v>55.52</v>
      </c>
      <c r="L1491">
        <v>-49412.800000000003</v>
      </c>
      <c r="M1491" t="s">
        <v>52</v>
      </c>
      <c r="N1491" t="s">
        <v>746</v>
      </c>
    </row>
    <row r="1492" spans="1:14" x14ac:dyDescent="0.25">
      <c r="A1492" s="18">
        <v>46079</v>
      </c>
      <c r="B1492" t="s">
        <v>289</v>
      </c>
      <c r="C1492" t="s">
        <v>339</v>
      </c>
      <c r="D1492" t="s">
        <v>340</v>
      </c>
      <c r="E1492" t="s">
        <v>341</v>
      </c>
      <c r="F1492" t="s">
        <v>21</v>
      </c>
      <c r="G1492">
        <v>251</v>
      </c>
      <c r="H1492">
        <v>186.35</v>
      </c>
      <c r="I1492">
        <v>-46773.85</v>
      </c>
      <c r="K1492">
        <v>186.35</v>
      </c>
      <c r="L1492">
        <v>-46773.85</v>
      </c>
      <c r="M1492" t="s">
        <v>340</v>
      </c>
      <c r="N1492" t="s">
        <v>339</v>
      </c>
    </row>
    <row r="1493" spans="1:14" x14ac:dyDescent="0.25">
      <c r="A1493" s="18">
        <v>46079</v>
      </c>
      <c r="B1493" t="s">
        <v>319</v>
      </c>
      <c r="C1493" t="s">
        <v>489</v>
      </c>
      <c r="D1493" t="s">
        <v>66</v>
      </c>
      <c r="E1493" t="s">
        <v>67</v>
      </c>
      <c r="F1493" t="s">
        <v>49</v>
      </c>
      <c r="G1493">
        <v>-60</v>
      </c>
      <c r="H1493">
        <v>1733.41</v>
      </c>
      <c r="I1493">
        <v>104004.6</v>
      </c>
      <c r="K1493">
        <v>1733.41</v>
      </c>
      <c r="L1493">
        <v>104004.6</v>
      </c>
      <c r="M1493" t="s">
        <v>66</v>
      </c>
      <c r="N1493" t="s">
        <v>489</v>
      </c>
    </row>
    <row r="1494" spans="1:14" x14ac:dyDescent="0.25">
      <c r="A1494" s="18">
        <v>46079</v>
      </c>
      <c r="B1494" t="s">
        <v>289</v>
      </c>
      <c r="C1494" t="s">
        <v>301</v>
      </c>
      <c r="D1494" t="s">
        <v>120</v>
      </c>
      <c r="E1494" t="s">
        <v>363</v>
      </c>
      <c r="F1494" t="s">
        <v>21</v>
      </c>
      <c r="G1494">
        <v>250</v>
      </c>
      <c r="H1494">
        <v>401.17360000000002</v>
      </c>
      <c r="I1494">
        <v>-100293.40000000001</v>
      </c>
      <c r="K1494">
        <v>401.17360000000002</v>
      </c>
      <c r="L1494">
        <v>-100293.40000000001</v>
      </c>
      <c r="M1494" t="s">
        <v>120</v>
      </c>
      <c r="N1494" t="s">
        <v>301</v>
      </c>
    </row>
    <row r="1495" spans="1:14" x14ac:dyDescent="0.25">
      <c r="A1495" s="18">
        <v>46079</v>
      </c>
      <c r="B1495" t="s">
        <v>319</v>
      </c>
      <c r="C1495" t="s">
        <v>764</v>
      </c>
      <c r="D1495" t="s">
        <v>765</v>
      </c>
      <c r="E1495" t="s">
        <v>766</v>
      </c>
      <c r="F1495" t="s">
        <v>36</v>
      </c>
      <c r="G1495">
        <v>-2000</v>
      </c>
      <c r="H1495">
        <v>42.35</v>
      </c>
      <c r="I1495">
        <v>-84700</v>
      </c>
      <c r="K1495">
        <v>42.35</v>
      </c>
      <c r="L1495">
        <v>-84700</v>
      </c>
      <c r="M1495" t="s">
        <v>765</v>
      </c>
      <c r="N1495" t="s">
        <v>764</v>
      </c>
    </row>
    <row r="1496" spans="1:14" x14ac:dyDescent="0.25">
      <c r="A1496" s="18">
        <v>46079</v>
      </c>
      <c r="B1496" t="s">
        <v>289</v>
      </c>
      <c r="C1496" t="s">
        <v>323</v>
      </c>
      <c r="D1496" t="s">
        <v>39</v>
      </c>
      <c r="E1496" t="s">
        <v>40</v>
      </c>
      <c r="F1496" t="s">
        <v>36</v>
      </c>
      <c r="G1496">
        <v>605</v>
      </c>
      <c r="H1496">
        <v>41.86</v>
      </c>
      <c r="I1496">
        <v>-25325.3</v>
      </c>
      <c r="K1496">
        <v>41.86</v>
      </c>
      <c r="L1496">
        <v>-25325.3</v>
      </c>
      <c r="M1496" t="s">
        <v>39</v>
      </c>
      <c r="N1496" t="s">
        <v>323</v>
      </c>
    </row>
    <row r="1497" spans="1:14" x14ac:dyDescent="0.25">
      <c r="A1497" s="18">
        <v>46079</v>
      </c>
      <c r="B1497" t="s">
        <v>319</v>
      </c>
      <c r="C1497" t="s">
        <v>708</v>
      </c>
      <c r="D1497" t="s">
        <v>709</v>
      </c>
      <c r="E1497" t="s">
        <v>710</v>
      </c>
      <c r="F1497" t="s">
        <v>21</v>
      </c>
      <c r="G1497">
        <v>-13498</v>
      </c>
      <c r="H1497">
        <v>17.7483</v>
      </c>
      <c r="I1497">
        <v>239566.5534</v>
      </c>
      <c r="K1497">
        <v>17.7483</v>
      </c>
      <c r="L1497">
        <v>239566.5534</v>
      </c>
      <c r="M1497" t="s">
        <v>709</v>
      </c>
      <c r="N1497" t="s">
        <v>708</v>
      </c>
    </row>
    <row r="1498" spans="1:14" x14ac:dyDescent="0.25">
      <c r="A1498" s="18">
        <v>46080</v>
      </c>
      <c r="B1498" t="s">
        <v>289</v>
      </c>
      <c r="C1498" t="s">
        <v>548</v>
      </c>
      <c r="D1498" t="s">
        <v>549</v>
      </c>
      <c r="E1498" t="s">
        <v>550</v>
      </c>
      <c r="F1498" t="s">
        <v>21</v>
      </c>
      <c r="G1498">
        <v>35000</v>
      </c>
      <c r="H1498">
        <v>4.0564999999999998</v>
      </c>
      <c r="I1498">
        <v>-141977.5</v>
      </c>
      <c r="K1498">
        <v>4.0564999999999998</v>
      </c>
      <c r="L1498">
        <v>-141977.5</v>
      </c>
      <c r="M1498" t="s">
        <v>549</v>
      </c>
      <c r="N1498" t="s">
        <v>548</v>
      </c>
    </row>
    <row r="1499" spans="1:14" x14ac:dyDescent="0.25">
      <c r="A1499" s="18">
        <v>46080</v>
      </c>
      <c r="B1499" t="s">
        <v>289</v>
      </c>
      <c r="C1499" t="s">
        <v>342</v>
      </c>
      <c r="D1499" t="s">
        <v>343</v>
      </c>
      <c r="E1499" t="s">
        <v>282</v>
      </c>
      <c r="F1499" t="s">
        <v>21</v>
      </c>
      <c r="G1499">
        <v>1155</v>
      </c>
      <c r="H1499">
        <v>86.536100000000005</v>
      </c>
      <c r="I1499">
        <v>-99949.195500000002</v>
      </c>
      <c r="K1499">
        <v>86.536100000000005</v>
      </c>
      <c r="L1499">
        <v>-99949.195500000002</v>
      </c>
      <c r="M1499" t="s">
        <v>343</v>
      </c>
      <c r="N1499" t="s">
        <v>342</v>
      </c>
    </row>
    <row r="1500" spans="1:14" x14ac:dyDescent="0.25">
      <c r="A1500" s="18">
        <v>46080</v>
      </c>
      <c r="B1500" t="s">
        <v>319</v>
      </c>
      <c r="C1500" t="s">
        <v>450</v>
      </c>
      <c r="D1500" t="s">
        <v>116</v>
      </c>
      <c r="E1500" t="s">
        <v>451</v>
      </c>
      <c r="F1500" t="s">
        <v>21</v>
      </c>
      <c r="G1500">
        <v>-22000</v>
      </c>
      <c r="H1500">
        <v>6.0289999999999999</v>
      </c>
      <c r="I1500">
        <v>132638</v>
      </c>
      <c r="K1500">
        <v>6.0289999999999999</v>
      </c>
      <c r="L1500">
        <v>132638</v>
      </c>
      <c r="M1500" t="s">
        <v>116</v>
      </c>
      <c r="N1500" t="s">
        <v>450</v>
      </c>
    </row>
    <row r="1501" spans="1:14" x14ac:dyDescent="0.25">
      <c r="A1501" s="18">
        <v>46080</v>
      </c>
      <c r="B1501" t="s">
        <v>289</v>
      </c>
      <c r="C1501" t="s">
        <v>791</v>
      </c>
      <c r="D1501" t="s">
        <v>85</v>
      </c>
      <c r="E1501" t="s">
        <v>86</v>
      </c>
      <c r="F1501" t="s">
        <v>82</v>
      </c>
      <c r="G1501">
        <v>1390</v>
      </c>
      <c r="H1501">
        <v>264</v>
      </c>
      <c r="I1501">
        <v>-366960</v>
      </c>
      <c r="K1501">
        <v>264</v>
      </c>
      <c r="L1501">
        <v>-366960</v>
      </c>
      <c r="M1501" t="s">
        <v>85</v>
      </c>
      <c r="N1501" t="s">
        <v>791</v>
      </c>
    </row>
    <row r="1502" spans="1:14" x14ac:dyDescent="0.25">
      <c r="A1502" s="18">
        <v>46080</v>
      </c>
      <c r="B1502" t="s">
        <v>289</v>
      </c>
      <c r="C1502" t="s">
        <v>792</v>
      </c>
      <c r="D1502" t="s">
        <v>106</v>
      </c>
      <c r="E1502" t="s">
        <v>793</v>
      </c>
      <c r="F1502" t="s">
        <v>21</v>
      </c>
      <c r="G1502">
        <v>23000</v>
      </c>
      <c r="H1502">
        <v>21.645700000000001</v>
      </c>
      <c r="I1502">
        <v>-497851.10000000003</v>
      </c>
      <c r="K1502">
        <v>21.645700000000001</v>
      </c>
      <c r="L1502">
        <v>-497851.10000000003</v>
      </c>
      <c r="M1502" t="s">
        <v>106</v>
      </c>
      <c r="N1502" t="s">
        <v>792</v>
      </c>
    </row>
    <row r="1503" spans="1:14" x14ac:dyDescent="0.25">
      <c r="A1503" s="18">
        <v>46080</v>
      </c>
      <c r="B1503" t="s">
        <v>319</v>
      </c>
      <c r="C1503" t="s">
        <v>742</v>
      </c>
      <c r="D1503" t="s">
        <v>50</v>
      </c>
      <c r="E1503" t="s">
        <v>743</v>
      </c>
      <c r="F1503" t="s">
        <v>21</v>
      </c>
      <c r="G1503">
        <v>-12200</v>
      </c>
      <c r="H1503">
        <v>12.081200000000001</v>
      </c>
      <c r="I1503">
        <v>147390.64000000001</v>
      </c>
      <c r="K1503">
        <v>12.081200000000001</v>
      </c>
      <c r="L1503">
        <v>147390.64000000001</v>
      </c>
      <c r="M1503" t="s">
        <v>50</v>
      </c>
      <c r="N1503" t="s">
        <v>742</v>
      </c>
    </row>
    <row r="1504" spans="1:14" x14ac:dyDescent="0.25">
      <c r="A1504" s="18">
        <v>46083</v>
      </c>
      <c r="B1504" t="s">
        <v>289</v>
      </c>
      <c r="C1504" t="s">
        <v>794</v>
      </c>
      <c r="D1504" t="s">
        <v>43</v>
      </c>
      <c r="E1504" t="s">
        <v>795</v>
      </c>
      <c r="F1504" t="s">
        <v>36</v>
      </c>
      <c r="G1504">
        <v>4900</v>
      </c>
      <c r="H1504">
        <v>32.221499999999999</v>
      </c>
      <c r="I1504">
        <v>-157885.35</v>
      </c>
      <c r="K1504">
        <v>32.221499999999999</v>
      </c>
      <c r="L1504">
        <v>-157885.35</v>
      </c>
      <c r="M1504" t="s">
        <v>43</v>
      </c>
      <c r="N1504" t="s">
        <v>794</v>
      </c>
    </row>
    <row r="1505" spans="1:14" x14ac:dyDescent="0.25">
      <c r="A1505" s="18">
        <v>46083</v>
      </c>
      <c r="B1505" t="s">
        <v>289</v>
      </c>
      <c r="C1505" t="s">
        <v>548</v>
      </c>
      <c r="D1505" t="s">
        <v>549</v>
      </c>
      <c r="E1505" t="s">
        <v>550</v>
      </c>
      <c r="F1505" t="s">
        <v>21</v>
      </c>
      <c r="G1505">
        <v>24589</v>
      </c>
      <c r="H1505">
        <v>4.0069999999999997</v>
      </c>
      <c r="I1505">
        <v>-98528.122999999992</v>
      </c>
      <c r="K1505">
        <v>4.0069999999999997</v>
      </c>
      <c r="L1505">
        <v>-98528.122999999992</v>
      </c>
      <c r="M1505" t="s">
        <v>549</v>
      </c>
      <c r="N1505" t="s">
        <v>548</v>
      </c>
    </row>
    <row r="1506" spans="1:14" x14ac:dyDescent="0.25">
      <c r="A1506" s="18">
        <v>46083</v>
      </c>
      <c r="B1506" t="s">
        <v>319</v>
      </c>
      <c r="C1506" t="s">
        <v>744</v>
      </c>
      <c r="D1506" t="s">
        <v>56</v>
      </c>
      <c r="E1506" t="s">
        <v>745</v>
      </c>
      <c r="F1506" t="s">
        <v>21</v>
      </c>
      <c r="G1506">
        <v>-6309</v>
      </c>
      <c r="H1506">
        <v>27.3309</v>
      </c>
      <c r="I1506">
        <v>172430.64809999999</v>
      </c>
      <c r="K1506">
        <v>27.3309</v>
      </c>
      <c r="L1506">
        <v>172430.64809999999</v>
      </c>
      <c r="M1506" t="s">
        <v>56</v>
      </c>
      <c r="N1506" t="s">
        <v>744</v>
      </c>
    </row>
    <row r="1507" spans="1:14" x14ac:dyDescent="0.25">
      <c r="A1507" s="18">
        <v>46083</v>
      </c>
      <c r="B1507" t="s">
        <v>319</v>
      </c>
      <c r="C1507" t="s">
        <v>314</v>
      </c>
      <c r="D1507" t="s">
        <v>315</v>
      </c>
      <c r="E1507" t="s">
        <v>362</v>
      </c>
      <c r="F1507" t="s">
        <v>21</v>
      </c>
      <c r="G1507">
        <v>-3649</v>
      </c>
      <c r="H1507">
        <v>26.380700000000001</v>
      </c>
      <c r="I1507">
        <v>96263.174299999999</v>
      </c>
      <c r="K1507">
        <v>26.380700000000001</v>
      </c>
      <c r="L1507">
        <v>96263.174299999999</v>
      </c>
      <c r="M1507" t="s">
        <v>315</v>
      </c>
      <c r="N1507" t="s">
        <v>314</v>
      </c>
    </row>
    <row r="1508" spans="1:14" x14ac:dyDescent="0.25">
      <c r="A1508" s="18">
        <v>46083</v>
      </c>
      <c r="B1508" t="s">
        <v>289</v>
      </c>
      <c r="C1508" t="s">
        <v>758</v>
      </c>
      <c r="D1508" t="s">
        <v>759</v>
      </c>
      <c r="E1508" t="s">
        <v>760</v>
      </c>
      <c r="F1508" t="s">
        <v>21</v>
      </c>
      <c r="G1508">
        <v>2300</v>
      </c>
      <c r="H1508">
        <v>42.247199999999999</v>
      </c>
      <c r="I1508">
        <v>-97168.56</v>
      </c>
      <c r="K1508">
        <v>42.247199999999999</v>
      </c>
      <c r="L1508">
        <v>-97168.56</v>
      </c>
      <c r="M1508" t="s">
        <v>759</v>
      </c>
      <c r="N1508" t="s">
        <v>758</v>
      </c>
    </row>
    <row r="1509" spans="1:14" x14ac:dyDescent="0.25">
      <c r="A1509" s="18">
        <v>46083</v>
      </c>
      <c r="B1509" t="s">
        <v>289</v>
      </c>
      <c r="C1509" t="s">
        <v>682</v>
      </c>
      <c r="D1509" t="s">
        <v>683</v>
      </c>
      <c r="E1509" t="s">
        <v>684</v>
      </c>
      <c r="F1509" t="s">
        <v>21</v>
      </c>
      <c r="G1509">
        <v>7</v>
      </c>
      <c r="H1509">
        <v>123.75</v>
      </c>
      <c r="I1509">
        <v>-866250</v>
      </c>
      <c r="K1509">
        <v>123.75</v>
      </c>
      <c r="L1509">
        <v>-866250</v>
      </c>
      <c r="M1509" t="s">
        <v>683</v>
      </c>
      <c r="N1509" t="s">
        <v>682</v>
      </c>
    </row>
    <row r="1510" spans="1:14" x14ac:dyDescent="0.25">
      <c r="A1510" s="18">
        <v>46083</v>
      </c>
      <c r="B1510" t="s">
        <v>319</v>
      </c>
      <c r="C1510" t="s">
        <v>796</v>
      </c>
      <c r="D1510" t="s">
        <v>797</v>
      </c>
      <c r="E1510" t="s">
        <v>798</v>
      </c>
      <c r="F1510" t="s">
        <v>21</v>
      </c>
      <c r="G1510">
        <v>-7</v>
      </c>
      <c r="H1510">
        <v>123.26</v>
      </c>
      <c r="I1510">
        <v>862820</v>
      </c>
      <c r="K1510">
        <v>123.26</v>
      </c>
      <c r="L1510">
        <v>862820</v>
      </c>
      <c r="M1510" t="s">
        <v>797</v>
      </c>
      <c r="N1510" t="s">
        <v>796</v>
      </c>
    </row>
    <row r="1511" spans="1:14" x14ac:dyDescent="0.25">
      <c r="A1511" s="18">
        <v>46083</v>
      </c>
      <c r="B1511" t="s">
        <v>319</v>
      </c>
      <c r="C1511" t="s">
        <v>676</v>
      </c>
      <c r="D1511" t="s">
        <v>677</v>
      </c>
      <c r="E1511" t="s">
        <v>678</v>
      </c>
      <c r="F1511" t="s">
        <v>21</v>
      </c>
      <c r="G1511">
        <v>-12</v>
      </c>
      <c r="H1511">
        <v>130.1</v>
      </c>
      <c r="I1511">
        <v>1561199.9999999998</v>
      </c>
      <c r="K1511">
        <v>130.1</v>
      </c>
      <c r="L1511">
        <v>1561199.9999999998</v>
      </c>
      <c r="M1511" t="s">
        <v>677</v>
      </c>
      <c r="N1511" t="s">
        <v>676</v>
      </c>
    </row>
    <row r="1512" spans="1:14" x14ac:dyDescent="0.25">
      <c r="A1512" s="18">
        <v>46083</v>
      </c>
      <c r="B1512" t="s">
        <v>289</v>
      </c>
      <c r="C1512" t="s">
        <v>799</v>
      </c>
      <c r="D1512" t="s">
        <v>800</v>
      </c>
      <c r="E1512" t="s">
        <v>801</v>
      </c>
      <c r="F1512" t="s">
        <v>21</v>
      </c>
      <c r="G1512">
        <v>12</v>
      </c>
      <c r="H1512">
        <v>129.08000000000001</v>
      </c>
      <c r="I1512">
        <v>-1548960</v>
      </c>
      <c r="K1512">
        <v>129.08000000000001</v>
      </c>
      <c r="L1512">
        <v>-1548960</v>
      </c>
      <c r="M1512" t="s">
        <v>800</v>
      </c>
      <c r="N1512" t="s">
        <v>799</v>
      </c>
    </row>
    <row r="1513" spans="1:14" x14ac:dyDescent="0.25">
      <c r="A1513" s="18">
        <v>46083</v>
      </c>
      <c r="B1513" t="s">
        <v>319</v>
      </c>
      <c r="C1513" t="s">
        <v>673</v>
      </c>
      <c r="D1513" t="s">
        <v>674</v>
      </c>
      <c r="E1513" t="s">
        <v>675</v>
      </c>
      <c r="F1513" t="s">
        <v>21</v>
      </c>
      <c r="G1513">
        <v>-16</v>
      </c>
      <c r="H1513">
        <v>122.61</v>
      </c>
      <c r="I1513">
        <v>1961760</v>
      </c>
      <c r="K1513">
        <v>122.61</v>
      </c>
      <c r="L1513">
        <v>1961760</v>
      </c>
      <c r="M1513" t="s">
        <v>674</v>
      </c>
      <c r="N1513" t="s">
        <v>673</v>
      </c>
    </row>
    <row r="1514" spans="1:14" x14ac:dyDescent="0.25">
      <c r="A1514" s="18">
        <v>46083</v>
      </c>
      <c r="B1514" t="s">
        <v>289</v>
      </c>
      <c r="C1514" t="s">
        <v>802</v>
      </c>
      <c r="D1514" t="s">
        <v>803</v>
      </c>
      <c r="E1514" t="s">
        <v>804</v>
      </c>
      <c r="F1514" t="s">
        <v>21</v>
      </c>
      <c r="G1514">
        <v>16</v>
      </c>
      <c r="H1514">
        <v>121.7</v>
      </c>
      <c r="I1514">
        <v>-1947200</v>
      </c>
      <c r="K1514">
        <v>121.7</v>
      </c>
      <c r="L1514">
        <v>-1947200</v>
      </c>
      <c r="M1514" t="s">
        <v>803</v>
      </c>
      <c r="N1514" t="s">
        <v>802</v>
      </c>
    </row>
    <row r="1515" spans="1:14" x14ac:dyDescent="0.25">
      <c r="A1515" s="18">
        <v>46083</v>
      </c>
      <c r="B1515" t="s">
        <v>319</v>
      </c>
      <c r="C1515" t="s">
        <v>679</v>
      </c>
      <c r="D1515" t="s">
        <v>680</v>
      </c>
      <c r="E1515" t="s">
        <v>681</v>
      </c>
      <c r="F1515" t="s">
        <v>21</v>
      </c>
      <c r="G1515">
        <v>-15</v>
      </c>
      <c r="H1515">
        <v>125.01</v>
      </c>
      <c r="I1515">
        <v>1875150</v>
      </c>
      <c r="K1515">
        <v>125.01</v>
      </c>
      <c r="L1515">
        <v>1875150</v>
      </c>
      <c r="M1515" t="s">
        <v>680</v>
      </c>
      <c r="N1515" t="s">
        <v>679</v>
      </c>
    </row>
    <row r="1516" spans="1:14" x14ac:dyDescent="0.25">
      <c r="A1516" s="18">
        <v>46083</v>
      </c>
      <c r="B1516" t="s">
        <v>289</v>
      </c>
      <c r="C1516" t="s">
        <v>805</v>
      </c>
      <c r="D1516" t="s">
        <v>806</v>
      </c>
      <c r="E1516" t="s">
        <v>807</v>
      </c>
      <c r="F1516" t="s">
        <v>21</v>
      </c>
      <c r="G1516">
        <v>15</v>
      </c>
      <c r="H1516">
        <v>125.22</v>
      </c>
      <c r="I1516">
        <v>-1878300</v>
      </c>
      <c r="K1516">
        <v>125.22</v>
      </c>
      <c r="L1516">
        <v>-1878300</v>
      </c>
      <c r="M1516" t="s">
        <v>806</v>
      </c>
      <c r="N1516" t="s">
        <v>805</v>
      </c>
    </row>
    <row r="1517" spans="1:14" x14ac:dyDescent="0.25">
      <c r="A1517" s="18">
        <v>46083</v>
      </c>
      <c r="B1517" t="s">
        <v>289</v>
      </c>
      <c r="C1517" t="s">
        <v>685</v>
      </c>
      <c r="D1517" t="s">
        <v>686</v>
      </c>
      <c r="E1517" t="s">
        <v>687</v>
      </c>
      <c r="F1517" t="s">
        <v>137</v>
      </c>
      <c r="G1517">
        <v>7</v>
      </c>
      <c r="H1517">
        <v>184.13</v>
      </c>
      <c r="I1517">
        <v>-161113749.99999997</v>
      </c>
      <c r="K1517">
        <v>184.12999999999997</v>
      </c>
      <c r="L1517">
        <v>-161113749.99999997</v>
      </c>
      <c r="M1517" t="s">
        <v>686</v>
      </c>
      <c r="N1517" t="s">
        <v>685</v>
      </c>
    </row>
    <row r="1518" spans="1:14" x14ac:dyDescent="0.25">
      <c r="A1518" s="18">
        <v>46083</v>
      </c>
      <c r="B1518" t="s">
        <v>319</v>
      </c>
      <c r="C1518" t="s">
        <v>808</v>
      </c>
      <c r="D1518" t="s">
        <v>809</v>
      </c>
      <c r="E1518" t="s">
        <v>810</v>
      </c>
      <c r="F1518" t="s">
        <v>137</v>
      </c>
      <c r="G1518">
        <v>-7</v>
      </c>
      <c r="H1518">
        <v>183.48</v>
      </c>
      <c r="I1518">
        <v>160545000</v>
      </c>
      <c r="K1518">
        <v>183.48</v>
      </c>
      <c r="L1518">
        <v>160545000</v>
      </c>
      <c r="M1518" t="s">
        <v>809</v>
      </c>
      <c r="N1518" t="s">
        <v>808</v>
      </c>
    </row>
    <row r="1519" spans="1:14" x14ac:dyDescent="0.25">
      <c r="A1519" s="18">
        <v>46083</v>
      </c>
      <c r="B1519" t="s">
        <v>319</v>
      </c>
      <c r="C1519" t="s">
        <v>723</v>
      </c>
      <c r="D1519" t="s">
        <v>724</v>
      </c>
      <c r="E1519" t="s">
        <v>725</v>
      </c>
      <c r="F1519" t="s">
        <v>49</v>
      </c>
      <c r="G1519">
        <v>-2</v>
      </c>
      <c r="H1519">
        <v>6807</v>
      </c>
      <c r="I1519">
        <v>680700</v>
      </c>
      <c r="K1519">
        <v>6807</v>
      </c>
      <c r="L1519">
        <v>680700</v>
      </c>
      <c r="M1519" t="s">
        <v>724</v>
      </c>
      <c r="N1519" t="s">
        <v>723</v>
      </c>
    </row>
    <row r="1520" spans="1:14" x14ac:dyDescent="0.25">
      <c r="A1520" s="18">
        <v>46083</v>
      </c>
      <c r="B1520" t="s">
        <v>319</v>
      </c>
      <c r="C1520" t="s">
        <v>739</v>
      </c>
      <c r="D1520" t="s">
        <v>740</v>
      </c>
      <c r="E1520" t="s">
        <v>741</v>
      </c>
      <c r="F1520" t="s">
        <v>49</v>
      </c>
      <c r="G1520">
        <v>-540</v>
      </c>
      <c r="H1520">
        <v>369.94299999999998</v>
      </c>
      <c r="I1520">
        <v>199769.22</v>
      </c>
      <c r="K1520">
        <v>369.94299999999998</v>
      </c>
      <c r="L1520">
        <v>199769.22</v>
      </c>
      <c r="M1520" t="s">
        <v>740</v>
      </c>
      <c r="N1520" t="s">
        <v>739</v>
      </c>
    </row>
    <row r="1521" spans="1:14" x14ac:dyDescent="0.25">
      <c r="A1521" s="18">
        <v>46083</v>
      </c>
      <c r="B1521" t="s">
        <v>319</v>
      </c>
      <c r="C1521" t="s">
        <v>339</v>
      </c>
      <c r="D1521" t="s">
        <v>340</v>
      </c>
      <c r="E1521" t="s">
        <v>341</v>
      </c>
      <c r="F1521" t="s">
        <v>21</v>
      </c>
      <c r="G1521">
        <v>-1456</v>
      </c>
      <c r="H1521">
        <v>181.2921</v>
      </c>
      <c r="I1521">
        <v>263961.29759999999</v>
      </c>
      <c r="K1521">
        <v>181.2921</v>
      </c>
      <c r="L1521">
        <v>263961.29759999999</v>
      </c>
      <c r="M1521" t="s">
        <v>340</v>
      </c>
      <c r="N1521" t="s">
        <v>339</v>
      </c>
    </row>
    <row r="1522" spans="1:14" x14ac:dyDescent="0.25">
      <c r="A1522" s="18">
        <v>46083</v>
      </c>
      <c r="B1522" t="s">
        <v>289</v>
      </c>
      <c r="C1522" t="s">
        <v>342</v>
      </c>
      <c r="D1522" t="s">
        <v>343</v>
      </c>
      <c r="E1522" t="s">
        <v>282</v>
      </c>
      <c r="F1522" t="s">
        <v>21</v>
      </c>
      <c r="G1522">
        <v>1500</v>
      </c>
      <c r="H1522">
        <v>81.911100000000005</v>
      </c>
      <c r="I1522">
        <v>-122866.65000000001</v>
      </c>
      <c r="K1522">
        <v>81.911100000000005</v>
      </c>
      <c r="L1522">
        <v>-122866.65000000001</v>
      </c>
      <c r="M1522" t="s">
        <v>343</v>
      </c>
      <c r="N1522" t="s">
        <v>342</v>
      </c>
    </row>
    <row r="1523" spans="1:14" x14ac:dyDescent="0.25">
      <c r="A1523" s="18">
        <v>46083</v>
      </c>
      <c r="B1523" t="s">
        <v>289</v>
      </c>
      <c r="C1523" t="s">
        <v>764</v>
      </c>
      <c r="D1523" t="s">
        <v>765</v>
      </c>
      <c r="E1523" t="s">
        <v>766</v>
      </c>
      <c r="F1523" t="s">
        <v>36</v>
      </c>
      <c r="G1523">
        <v>1240</v>
      </c>
      <c r="H1523">
        <v>41.574199999999998</v>
      </c>
      <c r="I1523">
        <v>-51552.007999999994</v>
      </c>
      <c r="K1523">
        <v>41.574199999999998</v>
      </c>
      <c r="L1523">
        <v>-51552.007999999994</v>
      </c>
      <c r="M1523" t="s">
        <v>765</v>
      </c>
      <c r="N1523" t="s">
        <v>764</v>
      </c>
    </row>
    <row r="1524" spans="1:14" x14ac:dyDescent="0.25">
      <c r="A1524" s="18">
        <v>46083</v>
      </c>
      <c r="B1524" t="s">
        <v>289</v>
      </c>
      <c r="C1524" t="s">
        <v>771</v>
      </c>
      <c r="D1524" t="s">
        <v>89</v>
      </c>
      <c r="E1524" t="s">
        <v>90</v>
      </c>
      <c r="F1524" t="s">
        <v>21</v>
      </c>
      <c r="G1524">
        <v>600</v>
      </c>
      <c r="H1524">
        <v>116.6</v>
      </c>
      <c r="I1524">
        <v>-69960</v>
      </c>
      <c r="K1524">
        <v>116.6</v>
      </c>
      <c r="L1524">
        <v>-69960</v>
      </c>
      <c r="M1524" t="s">
        <v>89</v>
      </c>
      <c r="N1524" t="s">
        <v>771</v>
      </c>
    </row>
    <row r="1525" spans="1:14" x14ac:dyDescent="0.25">
      <c r="A1525" s="18">
        <v>46083</v>
      </c>
      <c r="B1525" t="s">
        <v>289</v>
      </c>
      <c r="C1525" t="s">
        <v>783</v>
      </c>
      <c r="D1525" t="s">
        <v>78</v>
      </c>
      <c r="E1525" t="s">
        <v>79</v>
      </c>
      <c r="F1525" t="s">
        <v>21</v>
      </c>
      <c r="G1525">
        <v>1359</v>
      </c>
      <c r="H1525">
        <v>33.74</v>
      </c>
      <c r="I1525">
        <v>-45852.66</v>
      </c>
      <c r="K1525">
        <v>33.74</v>
      </c>
      <c r="L1525">
        <v>-45852.66</v>
      </c>
      <c r="M1525" t="s">
        <v>78</v>
      </c>
      <c r="N1525" t="s">
        <v>783</v>
      </c>
    </row>
    <row r="1526" spans="1:14" x14ac:dyDescent="0.25">
      <c r="A1526" s="18">
        <v>46083</v>
      </c>
      <c r="B1526" t="s">
        <v>289</v>
      </c>
      <c r="C1526" t="s">
        <v>323</v>
      </c>
      <c r="D1526" t="s">
        <v>39</v>
      </c>
      <c r="E1526" t="s">
        <v>40</v>
      </c>
      <c r="F1526" t="s">
        <v>36</v>
      </c>
      <c r="G1526">
        <v>1050</v>
      </c>
      <c r="H1526">
        <v>41.5047</v>
      </c>
      <c r="I1526">
        <v>-43579.934999999998</v>
      </c>
      <c r="K1526">
        <v>41.5047</v>
      </c>
      <c r="L1526">
        <v>-43579.934999999998</v>
      </c>
      <c r="M1526" t="s">
        <v>39</v>
      </c>
      <c r="N1526" t="s">
        <v>323</v>
      </c>
    </row>
    <row r="1527" spans="1:14" x14ac:dyDescent="0.25">
      <c r="A1527" s="18">
        <v>46083</v>
      </c>
      <c r="B1527" t="s">
        <v>289</v>
      </c>
      <c r="C1527" t="s">
        <v>700</v>
      </c>
      <c r="D1527" t="s">
        <v>68</v>
      </c>
      <c r="E1527" t="s">
        <v>701</v>
      </c>
      <c r="F1527" t="s">
        <v>49</v>
      </c>
      <c r="G1527">
        <v>459</v>
      </c>
      <c r="H1527">
        <v>128.25720000000001</v>
      </c>
      <c r="I1527">
        <v>-58870.054800000005</v>
      </c>
      <c r="K1527">
        <v>128.25720000000001</v>
      </c>
      <c r="L1527">
        <v>-58870.054800000005</v>
      </c>
      <c r="M1527" t="s">
        <v>68</v>
      </c>
      <c r="N1527" t="s">
        <v>700</v>
      </c>
    </row>
    <row r="1528" spans="1:14" x14ac:dyDescent="0.25">
      <c r="A1528" s="18">
        <v>46083</v>
      </c>
      <c r="B1528" t="s">
        <v>289</v>
      </c>
      <c r="C1528" t="s">
        <v>328</v>
      </c>
      <c r="D1528" t="s">
        <v>329</v>
      </c>
      <c r="E1528" t="s">
        <v>330</v>
      </c>
      <c r="F1528" t="s">
        <v>21</v>
      </c>
      <c r="G1528">
        <v>31</v>
      </c>
      <c r="H1528">
        <v>1631.5</v>
      </c>
      <c r="I1528">
        <v>-50576.5</v>
      </c>
      <c r="K1528">
        <v>1631.5</v>
      </c>
      <c r="L1528">
        <v>-50576.5</v>
      </c>
      <c r="M1528" t="s">
        <v>329</v>
      </c>
      <c r="N1528" t="s">
        <v>328</v>
      </c>
    </row>
    <row r="1529" spans="1:14" x14ac:dyDescent="0.25">
      <c r="A1529" s="18">
        <v>46084</v>
      </c>
      <c r="B1529" t="s">
        <v>319</v>
      </c>
      <c r="C1529" t="s">
        <v>780</v>
      </c>
      <c r="D1529" t="s">
        <v>781</v>
      </c>
      <c r="E1529" t="s">
        <v>782</v>
      </c>
      <c r="F1529" t="s">
        <v>21</v>
      </c>
      <c r="G1529">
        <v>-6300</v>
      </c>
      <c r="H1529">
        <v>31.320499999999999</v>
      </c>
      <c r="I1529">
        <v>197319.15</v>
      </c>
      <c r="K1529">
        <v>31.320499999999999</v>
      </c>
      <c r="L1529">
        <v>197319.15</v>
      </c>
      <c r="M1529" t="s">
        <v>781</v>
      </c>
      <c r="N1529" t="s">
        <v>780</v>
      </c>
    </row>
    <row r="1530" spans="1:14" x14ac:dyDescent="0.25">
      <c r="A1530" s="18">
        <v>46084</v>
      </c>
      <c r="B1530" t="s">
        <v>319</v>
      </c>
      <c r="C1530" t="s">
        <v>342</v>
      </c>
      <c r="D1530" t="s">
        <v>343</v>
      </c>
      <c r="E1530" t="s">
        <v>282</v>
      </c>
      <c r="F1530" t="s">
        <v>21</v>
      </c>
      <c r="G1530">
        <v>-2420</v>
      </c>
      <c r="H1530">
        <v>80.593000000000004</v>
      </c>
      <c r="I1530">
        <v>195035.06</v>
      </c>
      <c r="K1530">
        <v>80.593000000000004</v>
      </c>
      <c r="L1530">
        <v>195035.06</v>
      </c>
      <c r="M1530" t="s">
        <v>343</v>
      </c>
      <c r="N1530" t="s">
        <v>342</v>
      </c>
    </row>
    <row r="1531" spans="1:14" x14ac:dyDescent="0.25">
      <c r="A1531" s="18">
        <v>46084</v>
      </c>
      <c r="B1531" t="s">
        <v>319</v>
      </c>
      <c r="C1531" t="s">
        <v>742</v>
      </c>
      <c r="D1531" t="s">
        <v>50</v>
      </c>
      <c r="E1531" t="s">
        <v>743</v>
      </c>
      <c r="F1531" t="s">
        <v>21</v>
      </c>
      <c r="G1531">
        <v>-8700</v>
      </c>
      <c r="H1531">
        <v>11.143000000000001</v>
      </c>
      <c r="I1531">
        <v>96944.1</v>
      </c>
      <c r="K1531">
        <v>11.143000000000001</v>
      </c>
      <c r="L1531">
        <v>96944.1</v>
      </c>
      <c r="M1531" t="s">
        <v>50</v>
      </c>
      <c r="N1531" t="s">
        <v>742</v>
      </c>
    </row>
    <row r="1532" spans="1:14" x14ac:dyDescent="0.25">
      <c r="A1532" s="18">
        <v>46084</v>
      </c>
      <c r="B1532" t="s">
        <v>319</v>
      </c>
      <c r="C1532" t="s">
        <v>318</v>
      </c>
      <c r="D1532" t="s">
        <v>22</v>
      </c>
      <c r="E1532" t="s">
        <v>23</v>
      </c>
      <c r="F1532" t="s">
        <v>21</v>
      </c>
      <c r="G1532">
        <v>-4259</v>
      </c>
      <c r="H1532">
        <v>22.78</v>
      </c>
      <c r="I1532">
        <v>97020.02</v>
      </c>
      <c r="K1532">
        <v>22.78</v>
      </c>
      <c r="L1532">
        <v>97020.02</v>
      </c>
      <c r="M1532" t="s">
        <v>22</v>
      </c>
      <c r="N1532" t="s">
        <v>318</v>
      </c>
    </row>
    <row r="1533" spans="1:14" x14ac:dyDescent="0.25">
      <c r="A1533" s="18">
        <v>46084</v>
      </c>
      <c r="B1533" t="s">
        <v>289</v>
      </c>
      <c r="C1533" t="s">
        <v>548</v>
      </c>
      <c r="D1533" t="s">
        <v>549</v>
      </c>
      <c r="E1533" t="s">
        <v>550</v>
      </c>
      <c r="F1533" t="s">
        <v>21</v>
      </c>
      <c r="G1533">
        <v>24800</v>
      </c>
      <c r="H1533">
        <v>4.0033000000000003</v>
      </c>
      <c r="I1533">
        <v>-99281.840000000011</v>
      </c>
      <c r="K1533">
        <v>4.0033000000000003</v>
      </c>
      <c r="L1533">
        <v>-99281.840000000011</v>
      </c>
      <c r="M1533" t="s">
        <v>549</v>
      </c>
      <c r="N1533" t="s">
        <v>548</v>
      </c>
    </row>
    <row r="1534" spans="1:14" x14ac:dyDescent="0.25">
      <c r="A1534" s="18">
        <v>46084</v>
      </c>
      <c r="B1534" t="s">
        <v>319</v>
      </c>
      <c r="C1534" t="s">
        <v>750</v>
      </c>
      <c r="D1534" t="s">
        <v>751</v>
      </c>
      <c r="E1534" t="s">
        <v>752</v>
      </c>
      <c r="F1534" t="s">
        <v>82</v>
      </c>
      <c r="G1534">
        <v>-213</v>
      </c>
      <c r="H1534">
        <v>613.20000000000005</v>
      </c>
      <c r="I1534">
        <v>130611.6</v>
      </c>
      <c r="K1534">
        <v>613.20000000000005</v>
      </c>
      <c r="L1534">
        <v>130611.6</v>
      </c>
      <c r="M1534" t="s">
        <v>751</v>
      </c>
      <c r="N1534" t="s">
        <v>750</v>
      </c>
    </row>
    <row r="1535" spans="1:14" x14ac:dyDescent="0.25">
      <c r="A1535" s="18">
        <v>46084</v>
      </c>
      <c r="B1535" t="s">
        <v>289</v>
      </c>
      <c r="C1535" t="s">
        <v>435</v>
      </c>
      <c r="D1535" t="s">
        <v>99</v>
      </c>
      <c r="E1535" t="s">
        <v>100</v>
      </c>
      <c r="F1535" t="s">
        <v>21</v>
      </c>
      <c r="G1535">
        <v>7350</v>
      </c>
      <c r="H1535">
        <v>9.4260000000000002</v>
      </c>
      <c r="I1535">
        <v>-69281.100000000006</v>
      </c>
      <c r="K1535">
        <v>9.4260000000000002</v>
      </c>
      <c r="L1535">
        <v>-69281.100000000006</v>
      </c>
      <c r="M1535" t="s">
        <v>99</v>
      </c>
      <c r="N1535" t="s">
        <v>435</v>
      </c>
    </row>
    <row r="1536" spans="1:14" x14ac:dyDescent="0.25">
      <c r="A1536" s="18">
        <v>46084</v>
      </c>
      <c r="B1536" t="s">
        <v>289</v>
      </c>
      <c r="C1536" t="s">
        <v>311</v>
      </c>
      <c r="D1536" t="s">
        <v>312</v>
      </c>
      <c r="E1536" t="s">
        <v>313</v>
      </c>
      <c r="F1536" t="s">
        <v>21</v>
      </c>
      <c r="G1536">
        <v>300</v>
      </c>
      <c r="H1536">
        <v>320.58530000000002</v>
      </c>
      <c r="I1536">
        <v>-96175.590000000011</v>
      </c>
      <c r="K1536">
        <v>320.58530000000002</v>
      </c>
      <c r="L1536">
        <v>-96175.590000000011</v>
      </c>
      <c r="M1536" t="s">
        <v>312</v>
      </c>
      <c r="N1536" t="s">
        <v>311</v>
      </c>
    </row>
    <row r="1537" spans="1:14" x14ac:dyDescent="0.25">
      <c r="A1537" s="18">
        <v>46084</v>
      </c>
      <c r="B1537" t="s">
        <v>319</v>
      </c>
      <c r="C1537" t="s">
        <v>753</v>
      </c>
      <c r="D1537" t="s">
        <v>754</v>
      </c>
      <c r="E1537" t="s">
        <v>276</v>
      </c>
      <c r="F1537" t="s">
        <v>21</v>
      </c>
      <c r="G1537">
        <v>-3748</v>
      </c>
      <c r="H1537">
        <v>69.75</v>
      </c>
      <c r="I1537">
        <v>261423</v>
      </c>
      <c r="K1537">
        <v>69.75</v>
      </c>
      <c r="L1537">
        <v>261423</v>
      </c>
      <c r="M1537" t="s">
        <v>754</v>
      </c>
      <c r="N1537" t="s">
        <v>753</v>
      </c>
    </row>
    <row r="1538" spans="1:14" x14ac:dyDescent="0.25">
      <c r="A1538" s="18">
        <v>46084</v>
      </c>
      <c r="B1538" t="s">
        <v>289</v>
      </c>
      <c r="C1538" t="s">
        <v>353</v>
      </c>
      <c r="D1538" t="s">
        <v>122</v>
      </c>
      <c r="E1538" t="s">
        <v>297</v>
      </c>
      <c r="F1538" t="s">
        <v>21</v>
      </c>
      <c r="G1538">
        <v>200</v>
      </c>
      <c r="H1538">
        <v>289.60000000000002</v>
      </c>
      <c r="I1538">
        <v>-57920.000000000007</v>
      </c>
      <c r="K1538">
        <v>289.60000000000002</v>
      </c>
      <c r="L1538">
        <v>-57920.000000000007</v>
      </c>
      <c r="M1538" t="s">
        <v>122</v>
      </c>
      <c r="N1538" t="s">
        <v>353</v>
      </c>
    </row>
    <row r="1539" spans="1:14" x14ac:dyDescent="0.25">
      <c r="A1539" s="18">
        <v>46084</v>
      </c>
      <c r="B1539" t="s">
        <v>319</v>
      </c>
      <c r="C1539" t="s">
        <v>342</v>
      </c>
      <c r="D1539" t="s">
        <v>343</v>
      </c>
      <c r="E1539" t="s">
        <v>282</v>
      </c>
      <c r="F1539" t="s">
        <v>21</v>
      </c>
      <c r="G1539">
        <v>-1820</v>
      </c>
      <c r="H1539">
        <v>78.08</v>
      </c>
      <c r="I1539">
        <v>142105.60000000001</v>
      </c>
      <c r="K1539">
        <v>78.08</v>
      </c>
      <c r="L1539">
        <v>142105.60000000001</v>
      </c>
      <c r="M1539" t="s">
        <v>343</v>
      </c>
      <c r="N1539" t="s">
        <v>342</v>
      </c>
    </row>
    <row r="1540" spans="1:14" x14ac:dyDescent="0.25">
      <c r="A1540" s="18">
        <v>46084</v>
      </c>
      <c r="B1540" t="s">
        <v>289</v>
      </c>
      <c r="C1540" t="s">
        <v>493</v>
      </c>
      <c r="D1540" t="s">
        <v>28</v>
      </c>
      <c r="E1540" t="s">
        <v>29</v>
      </c>
      <c r="F1540" t="s">
        <v>21</v>
      </c>
      <c r="G1540">
        <v>190</v>
      </c>
      <c r="H1540">
        <v>255.75</v>
      </c>
      <c r="I1540">
        <v>-48592.5</v>
      </c>
      <c r="K1540">
        <v>255.75</v>
      </c>
      <c r="L1540">
        <v>-48592.5</v>
      </c>
      <c r="M1540" t="s">
        <v>28</v>
      </c>
      <c r="N1540" t="s">
        <v>493</v>
      </c>
    </row>
    <row r="1541" spans="1:14" x14ac:dyDescent="0.25">
      <c r="A1541" s="18">
        <v>46084</v>
      </c>
      <c r="B1541" t="s">
        <v>289</v>
      </c>
      <c r="C1541" t="s">
        <v>619</v>
      </c>
      <c r="D1541" t="s">
        <v>620</v>
      </c>
      <c r="E1541" t="s">
        <v>621</v>
      </c>
      <c r="F1541" t="s">
        <v>21</v>
      </c>
      <c r="G1541">
        <v>460</v>
      </c>
      <c r="H1541">
        <v>214.65</v>
      </c>
      <c r="I1541">
        <v>-98739</v>
      </c>
      <c r="K1541">
        <v>214.65</v>
      </c>
      <c r="L1541">
        <v>-98739</v>
      </c>
      <c r="M1541" t="s">
        <v>620</v>
      </c>
      <c r="N1541" t="s">
        <v>619</v>
      </c>
    </row>
    <row r="1542" spans="1:14" x14ac:dyDescent="0.25">
      <c r="A1542" s="18">
        <v>46085</v>
      </c>
      <c r="B1542" t="s">
        <v>289</v>
      </c>
      <c r="C1542" t="s">
        <v>811</v>
      </c>
      <c r="D1542" t="s">
        <v>812</v>
      </c>
      <c r="E1542" t="s">
        <v>813</v>
      </c>
      <c r="F1542" t="s">
        <v>21</v>
      </c>
      <c r="G1542">
        <v>455</v>
      </c>
      <c r="H1542">
        <v>335.62549999999999</v>
      </c>
      <c r="I1542">
        <v>-152709.60250000001</v>
      </c>
      <c r="K1542">
        <v>335.62550000000005</v>
      </c>
      <c r="L1542">
        <v>-152709.60250000001</v>
      </c>
      <c r="M1542" t="s">
        <v>812</v>
      </c>
      <c r="N1542" t="s">
        <v>811</v>
      </c>
    </row>
    <row r="1543" spans="1:14" x14ac:dyDescent="0.25">
      <c r="A1543" s="18">
        <v>46085</v>
      </c>
      <c r="B1543" t="s">
        <v>289</v>
      </c>
      <c r="C1543" t="s">
        <v>771</v>
      </c>
      <c r="D1543" t="s">
        <v>89</v>
      </c>
      <c r="E1543" t="s">
        <v>90</v>
      </c>
      <c r="F1543" t="s">
        <v>21</v>
      </c>
      <c r="G1543">
        <v>1100</v>
      </c>
      <c r="H1543">
        <v>106.6152</v>
      </c>
      <c r="I1543">
        <v>-117276.72</v>
      </c>
      <c r="K1543">
        <v>106.6152</v>
      </c>
      <c r="L1543">
        <v>-117276.72</v>
      </c>
      <c r="M1543" t="s">
        <v>89</v>
      </c>
      <c r="N1543" t="s">
        <v>771</v>
      </c>
    </row>
    <row r="1544" spans="1:14" x14ac:dyDescent="0.25">
      <c r="A1544" s="18">
        <v>46085</v>
      </c>
      <c r="B1544" t="s">
        <v>319</v>
      </c>
      <c r="C1544" t="s">
        <v>783</v>
      </c>
      <c r="D1544" t="s">
        <v>78</v>
      </c>
      <c r="E1544" t="s">
        <v>79</v>
      </c>
      <c r="F1544" t="s">
        <v>21</v>
      </c>
      <c r="G1544">
        <v>-4052</v>
      </c>
      <c r="H1544">
        <v>28.881799999999998</v>
      </c>
      <c r="I1544">
        <v>117029.0536</v>
      </c>
      <c r="K1544">
        <v>28.881799999999998</v>
      </c>
      <c r="L1544">
        <v>117029.0536</v>
      </c>
      <c r="M1544" t="s">
        <v>78</v>
      </c>
      <c r="N1544" t="s">
        <v>783</v>
      </c>
    </row>
    <row r="1545" spans="1:14" x14ac:dyDescent="0.25">
      <c r="A1545" s="18">
        <v>46085</v>
      </c>
      <c r="B1545" t="s">
        <v>289</v>
      </c>
      <c r="C1545" t="s">
        <v>314</v>
      </c>
      <c r="D1545" t="s">
        <v>315</v>
      </c>
      <c r="E1545" t="s">
        <v>362</v>
      </c>
      <c r="F1545" t="s">
        <v>21</v>
      </c>
      <c r="G1545">
        <v>3800</v>
      </c>
      <c r="H1545">
        <v>26.625900000000001</v>
      </c>
      <c r="I1545">
        <v>-101178.42000000001</v>
      </c>
      <c r="K1545">
        <v>26.625900000000005</v>
      </c>
      <c r="L1545">
        <v>-101178.42000000001</v>
      </c>
      <c r="M1545" t="s">
        <v>315</v>
      </c>
      <c r="N1545" t="s">
        <v>314</v>
      </c>
    </row>
    <row r="1546" spans="1:14" x14ac:dyDescent="0.25">
      <c r="A1546" s="18">
        <v>46085</v>
      </c>
      <c r="B1546" t="s">
        <v>289</v>
      </c>
      <c r="C1546" t="s">
        <v>484</v>
      </c>
      <c r="D1546" t="s">
        <v>30</v>
      </c>
      <c r="E1546" t="s">
        <v>31</v>
      </c>
      <c r="F1546" t="s">
        <v>21</v>
      </c>
      <c r="G1546">
        <v>953</v>
      </c>
      <c r="H1546">
        <v>157.34979999999999</v>
      </c>
      <c r="I1546">
        <v>-149954.35939999999</v>
      </c>
      <c r="K1546">
        <v>157.34979999999999</v>
      </c>
      <c r="L1546">
        <v>-149954.35939999999</v>
      </c>
      <c r="M1546" t="s">
        <v>30</v>
      </c>
      <c r="N1546" t="s">
        <v>484</v>
      </c>
    </row>
    <row r="1547" spans="1:14" x14ac:dyDescent="0.25">
      <c r="A1547" s="18">
        <v>46085</v>
      </c>
      <c r="B1547" t="s">
        <v>289</v>
      </c>
      <c r="C1547" t="s">
        <v>291</v>
      </c>
      <c r="D1547" t="s">
        <v>292</v>
      </c>
      <c r="E1547" t="s">
        <v>293</v>
      </c>
      <c r="F1547" t="s">
        <v>21</v>
      </c>
      <c r="G1547">
        <v>47000</v>
      </c>
      <c r="H1547">
        <v>1.5899000000000001</v>
      </c>
      <c r="I1547">
        <v>-74725.3</v>
      </c>
      <c r="K1547">
        <v>1.5899000000000001</v>
      </c>
      <c r="L1547">
        <v>-74725.3</v>
      </c>
      <c r="M1547" t="s">
        <v>292</v>
      </c>
      <c r="N1547" t="s">
        <v>291</v>
      </c>
    </row>
    <row r="1548" spans="1:14" x14ac:dyDescent="0.25">
      <c r="A1548" s="18">
        <v>46085</v>
      </c>
      <c r="B1548" t="s">
        <v>289</v>
      </c>
      <c r="C1548" t="s">
        <v>792</v>
      </c>
      <c r="D1548" t="s">
        <v>106</v>
      </c>
      <c r="E1548" t="s">
        <v>793</v>
      </c>
      <c r="F1548" t="s">
        <v>21</v>
      </c>
      <c r="G1548">
        <v>23000</v>
      </c>
      <c r="H1548">
        <v>20.9481</v>
      </c>
      <c r="I1548">
        <v>-481806.3</v>
      </c>
      <c r="K1548">
        <v>20.9481</v>
      </c>
      <c r="L1548">
        <v>-481806.3</v>
      </c>
      <c r="M1548" t="s">
        <v>106</v>
      </c>
      <c r="N1548" t="s">
        <v>792</v>
      </c>
    </row>
    <row r="1549" spans="1:14" x14ac:dyDescent="0.25">
      <c r="A1549" s="18">
        <v>46086</v>
      </c>
      <c r="B1549" t="s">
        <v>289</v>
      </c>
      <c r="C1549" t="s">
        <v>814</v>
      </c>
      <c r="D1549" t="s">
        <v>815</v>
      </c>
      <c r="E1549" t="s">
        <v>816</v>
      </c>
      <c r="F1549" t="s">
        <v>21</v>
      </c>
      <c r="G1549">
        <v>469</v>
      </c>
      <c r="H1549">
        <v>318.39999999999998</v>
      </c>
      <c r="I1549">
        <v>-149329.59999999998</v>
      </c>
      <c r="K1549">
        <v>318.39999999999998</v>
      </c>
      <c r="L1549">
        <v>-149329.59999999998</v>
      </c>
      <c r="M1549" t="s">
        <v>815</v>
      </c>
      <c r="N1549" t="s">
        <v>814</v>
      </c>
    </row>
    <row r="1550" spans="1:14" x14ac:dyDescent="0.25">
      <c r="A1550" s="18">
        <v>46086</v>
      </c>
      <c r="B1550" t="s">
        <v>289</v>
      </c>
      <c r="C1550" t="s">
        <v>314</v>
      </c>
      <c r="D1550" t="s">
        <v>315</v>
      </c>
      <c r="E1550" t="s">
        <v>362</v>
      </c>
      <c r="F1550" t="s">
        <v>21</v>
      </c>
      <c r="G1550">
        <v>2800</v>
      </c>
      <c r="H1550">
        <v>26.173100000000002</v>
      </c>
      <c r="I1550">
        <v>-73284.680000000008</v>
      </c>
      <c r="K1550">
        <v>26.173100000000002</v>
      </c>
      <c r="L1550">
        <v>-73284.680000000008</v>
      </c>
      <c r="M1550" t="s">
        <v>315</v>
      </c>
      <c r="N1550" t="s">
        <v>314</v>
      </c>
    </row>
    <row r="1551" spans="1:14" x14ac:dyDescent="0.25">
      <c r="A1551" s="18">
        <v>46086</v>
      </c>
      <c r="B1551" t="s">
        <v>289</v>
      </c>
      <c r="C1551" t="s">
        <v>326</v>
      </c>
      <c r="D1551" t="s">
        <v>327</v>
      </c>
      <c r="E1551" t="s">
        <v>251</v>
      </c>
      <c r="F1551" t="s">
        <v>21</v>
      </c>
      <c r="G1551">
        <v>560</v>
      </c>
      <c r="H1551">
        <v>133.9</v>
      </c>
      <c r="I1551">
        <v>-74984</v>
      </c>
      <c r="K1551">
        <v>133.9</v>
      </c>
      <c r="L1551">
        <v>-74984</v>
      </c>
      <c r="M1551" t="s">
        <v>327</v>
      </c>
      <c r="N1551" t="s">
        <v>326</v>
      </c>
    </row>
    <row r="1552" spans="1:14" x14ac:dyDescent="0.25">
      <c r="A1552" s="18">
        <v>46086</v>
      </c>
      <c r="B1552" t="s">
        <v>289</v>
      </c>
      <c r="C1552" t="s">
        <v>435</v>
      </c>
      <c r="D1552" t="s">
        <v>99</v>
      </c>
      <c r="E1552" t="s">
        <v>100</v>
      </c>
      <c r="F1552" t="s">
        <v>21</v>
      </c>
      <c r="G1552">
        <v>10200</v>
      </c>
      <c r="H1552">
        <v>9.9995999999999992</v>
      </c>
      <c r="I1552">
        <v>-101995.92</v>
      </c>
      <c r="K1552">
        <v>9.9995999999999992</v>
      </c>
      <c r="L1552">
        <v>-101995.92</v>
      </c>
      <c r="M1552" t="s">
        <v>99</v>
      </c>
      <c r="N1552" t="s">
        <v>435</v>
      </c>
    </row>
    <row r="1553" spans="1:14" x14ac:dyDescent="0.25">
      <c r="A1553" s="18">
        <v>46086</v>
      </c>
      <c r="B1553" t="s">
        <v>289</v>
      </c>
      <c r="C1553" t="s">
        <v>450</v>
      </c>
      <c r="D1553" t="s">
        <v>116</v>
      </c>
      <c r="E1553" t="s">
        <v>451</v>
      </c>
      <c r="F1553" t="s">
        <v>21</v>
      </c>
      <c r="G1553">
        <v>25800</v>
      </c>
      <c r="H1553">
        <v>5.7590000000000003</v>
      </c>
      <c r="I1553">
        <v>-148582.20000000001</v>
      </c>
      <c r="K1553">
        <v>5.7590000000000003</v>
      </c>
      <c r="L1553">
        <v>-148582.20000000001</v>
      </c>
      <c r="M1553" t="s">
        <v>116</v>
      </c>
      <c r="N1553" t="s">
        <v>450</v>
      </c>
    </row>
    <row r="1554" spans="1:14" x14ac:dyDescent="0.25">
      <c r="A1554" s="18">
        <v>46086</v>
      </c>
      <c r="B1554" t="s">
        <v>289</v>
      </c>
      <c r="C1554" t="s">
        <v>714</v>
      </c>
      <c r="D1554" t="s">
        <v>715</v>
      </c>
      <c r="E1554" t="s">
        <v>716</v>
      </c>
      <c r="F1554" t="s">
        <v>21</v>
      </c>
      <c r="G1554">
        <v>5</v>
      </c>
      <c r="H1554">
        <v>5918</v>
      </c>
      <c r="I1554">
        <v>-295900</v>
      </c>
      <c r="K1554">
        <v>5918</v>
      </c>
      <c r="L1554">
        <v>-295900</v>
      </c>
      <c r="M1554" t="s">
        <v>715</v>
      </c>
      <c r="N1554" t="s">
        <v>714</v>
      </c>
    </row>
    <row r="1555" spans="1:14" x14ac:dyDescent="0.25">
      <c r="A1555" s="18">
        <v>46086</v>
      </c>
      <c r="B1555" t="s">
        <v>289</v>
      </c>
      <c r="C1555" t="s">
        <v>342</v>
      </c>
      <c r="D1555" t="s">
        <v>343</v>
      </c>
      <c r="E1555" t="s">
        <v>282</v>
      </c>
      <c r="F1555" t="s">
        <v>21</v>
      </c>
      <c r="G1555">
        <v>980</v>
      </c>
      <c r="H1555">
        <v>76.34</v>
      </c>
      <c r="I1555">
        <v>-74813.2</v>
      </c>
      <c r="K1555">
        <v>76.34</v>
      </c>
      <c r="L1555">
        <v>-74813.2</v>
      </c>
      <c r="M1555" t="s">
        <v>343</v>
      </c>
      <c r="N1555" t="s">
        <v>342</v>
      </c>
    </row>
    <row r="1556" spans="1:14" x14ac:dyDescent="0.25">
      <c r="A1556" s="18">
        <v>46086</v>
      </c>
      <c r="B1556" t="s">
        <v>289</v>
      </c>
      <c r="C1556" t="s">
        <v>314</v>
      </c>
      <c r="D1556" t="s">
        <v>315</v>
      </c>
      <c r="E1556" t="s">
        <v>362</v>
      </c>
      <c r="F1556" t="s">
        <v>21</v>
      </c>
      <c r="G1556">
        <v>1890</v>
      </c>
      <c r="H1556">
        <v>26.040299999999998</v>
      </c>
      <c r="I1556">
        <v>-49216.166999999994</v>
      </c>
      <c r="K1556">
        <v>26.040299999999998</v>
      </c>
      <c r="L1556">
        <v>-49216.166999999994</v>
      </c>
      <c r="M1556" t="s">
        <v>315</v>
      </c>
      <c r="N1556" t="s">
        <v>314</v>
      </c>
    </row>
    <row r="1557" spans="1:14" x14ac:dyDescent="0.25">
      <c r="A1557" s="18">
        <v>46086</v>
      </c>
      <c r="B1557" t="s">
        <v>289</v>
      </c>
      <c r="C1557" t="s">
        <v>489</v>
      </c>
      <c r="D1557" t="s">
        <v>66</v>
      </c>
      <c r="E1557" t="s">
        <v>67</v>
      </c>
      <c r="F1557" t="s">
        <v>49</v>
      </c>
      <c r="G1557">
        <v>66</v>
      </c>
      <c r="H1557">
        <v>1776.29</v>
      </c>
      <c r="I1557">
        <v>-117235.14</v>
      </c>
      <c r="K1557">
        <v>1776.29</v>
      </c>
      <c r="L1557">
        <v>-117235.14</v>
      </c>
      <c r="M1557" t="s">
        <v>66</v>
      </c>
      <c r="N1557" t="s">
        <v>489</v>
      </c>
    </row>
    <row r="1558" spans="1:14" x14ac:dyDescent="0.25">
      <c r="A1558" s="18">
        <v>46086</v>
      </c>
      <c r="B1558" t="s">
        <v>319</v>
      </c>
      <c r="C1558" t="s">
        <v>700</v>
      </c>
      <c r="D1558" t="s">
        <v>68</v>
      </c>
      <c r="E1558" t="s">
        <v>701</v>
      </c>
      <c r="F1558" t="s">
        <v>49</v>
      </c>
      <c r="G1558">
        <v>-1500</v>
      </c>
      <c r="H1558">
        <v>115.012</v>
      </c>
      <c r="I1558">
        <v>172518</v>
      </c>
      <c r="K1558">
        <v>115.012</v>
      </c>
      <c r="L1558">
        <v>172518</v>
      </c>
      <c r="M1558" t="s">
        <v>68</v>
      </c>
      <c r="N1558" t="s">
        <v>700</v>
      </c>
    </row>
    <row r="1559" spans="1:14" x14ac:dyDescent="0.25">
      <c r="A1559" s="18">
        <v>46086</v>
      </c>
      <c r="B1559" t="s">
        <v>319</v>
      </c>
      <c r="C1559" t="s">
        <v>755</v>
      </c>
      <c r="D1559" t="s">
        <v>756</v>
      </c>
      <c r="E1559" t="s">
        <v>757</v>
      </c>
      <c r="F1559" t="s">
        <v>49</v>
      </c>
      <c r="G1559">
        <v>-514</v>
      </c>
      <c r="H1559">
        <v>329.51260000000002</v>
      </c>
      <c r="I1559">
        <v>169369.47640000001</v>
      </c>
      <c r="K1559">
        <v>329.51260000000002</v>
      </c>
      <c r="L1559">
        <v>169369.47640000001</v>
      </c>
      <c r="M1559" t="s">
        <v>756</v>
      </c>
      <c r="N1559" t="s">
        <v>755</v>
      </c>
    </row>
    <row r="1560" spans="1:14" x14ac:dyDescent="0.25">
      <c r="A1560" s="18">
        <v>46087</v>
      </c>
      <c r="B1560" t="s">
        <v>289</v>
      </c>
      <c r="C1560" t="s">
        <v>290</v>
      </c>
      <c r="D1560" t="s">
        <v>45</v>
      </c>
      <c r="E1560" t="s">
        <v>46</v>
      </c>
      <c r="F1560" t="s">
        <v>21</v>
      </c>
      <c r="G1560">
        <v>1500</v>
      </c>
      <c r="H1560">
        <v>49.424799999999998</v>
      </c>
      <c r="I1560">
        <v>-74137.2</v>
      </c>
      <c r="K1560">
        <v>49.424799999999998</v>
      </c>
      <c r="L1560">
        <v>-74137.2</v>
      </c>
      <c r="M1560" t="s">
        <v>45</v>
      </c>
      <c r="N1560" t="s">
        <v>290</v>
      </c>
    </row>
    <row r="1561" spans="1:14" x14ac:dyDescent="0.25">
      <c r="A1561" s="18">
        <v>46087</v>
      </c>
      <c r="B1561" t="s">
        <v>289</v>
      </c>
      <c r="C1561" t="s">
        <v>290</v>
      </c>
      <c r="D1561" t="s">
        <v>45</v>
      </c>
      <c r="E1561" t="s">
        <v>46</v>
      </c>
      <c r="F1561" t="s">
        <v>21</v>
      </c>
      <c r="G1561">
        <v>800</v>
      </c>
      <c r="H1561">
        <v>48.784399999999998</v>
      </c>
      <c r="I1561">
        <v>-39027.519999999997</v>
      </c>
      <c r="K1561">
        <v>48.784399999999998</v>
      </c>
      <c r="L1561">
        <v>-39027.519999999997</v>
      </c>
      <c r="M1561" t="s">
        <v>45</v>
      </c>
      <c r="N1561" t="s">
        <v>290</v>
      </c>
    </row>
    <row r="1562" spans="1:14" x14ac:dyDescent="0.25">
      <c r="A1562" s="18">
        <v>46087</v>
      </c>
      <c r="B1562" t="s">
        <v>319</v>
      </c>
      <c r="C1562" t="s">
        <v>705</v>
      </c>
      <c r="D1562" t="s">
        <v>706</v>
      </c>
      <c r="E1562" t="s">
        <v>707</v>
      </c>
      <c r="F1562" t="s">
        <v>21</v>
      </c>
      <c r="G1562">
        <v>-8</v>
      </c>
      <c r="H1562">
        <v>23787</v>
      </c>
      <c r="I1562">
        <v>951480</v>
      </c>
      <c r="K1562">
        <v>23787</v>
      </c>
      <c r="L1562">
        <v>951480</v>
      </c>
      <c r="M1562" t="s">
        <v>706</v>
      </c>
      <c r="N1562" t="s">
        <v>705</v>
      </c>
    </row>
    <row r="1563" spans="1:14" x14ac:dyDescent="0.25">
      <c r="A1563" s="18">
        <v>46087</v>
      </c>
      <c r="B1563" t="s">
        <v>289</v>
      </c>
      <c r="C1563" t="s">
        <v>290</v>
      </c>
      <c r="D1563" t="s">
        <v>45</v>
      </c>
      <c r="E1563" t="s">
        <v>46</v>
      </c>
      <c r="F1563" t="s">
        <v>21</v>
      </c>
      <c r="G1563">
        <v>1000</v>
      </c>
      <c r="H1563">
        <v>48.334600000000002</v>
      </c>
      <c r="I1563">
        <v>-48334.6</v>
      </c>
      <c r="K1563">
        <v>48.334600000000002</v>
      </c>
      <c r="L1563">
        <v>-48334.6</v>
      </c>
      <c r="M1563" t="s">
        <v>45</v>
      </c>
      <c r="N1563" t="s">
        <v>290</v>
      </c>
    </row>
    <row r="1564" spans="1:14" x14ac:dyDescent="0.25">
      <c r="A1564" s="18">
        <v>46087</v>
      </c>
      <c r="B1564" t="s">
        <v>289</v>
      </c>
      <c r="C1564" t="s">
        <v>619</v>
      </c>
      <c r="D1564" t="s">
        <v>620</v>
      </c>
      <c r="E1564" t="s">
        <v>621</v>
      </c>
      <c r="F1564" t="s">
        <v>21</v>
      </c>
      <c r="G1564">
        <v>700</v>
      </c>
      <c r="H1564">
        <v>211.75489999999999</v>
      </c>
      <c r="I1564">
        <v>-148228.43</v>
      </c>
      <c r="K1564">
        <v>211.75489999999999</v>
      </c>
      <c r="L1564">
        <v>-148228.43</v>
      </c>
      <c r="M1564" t="s">
        <v>620</v>
      </c>
      <c r="N1564" t="s">
        <v>619</v>
      </c>
    </row>
    <row r="1565" spans="1:14" x14ac:dyDescent="0.25">
      <c r="A1565" s="18">
        <v>46087</v>
      </c>
      <c r="B1565" t="s">
        <v>319</v>
      </c>
      <c r="C1565" t="s">
        <v>361</v>
      </c>
      <c r="D1565" t="s">
        <v>93</v>
      </c>
      <c r="E1565" t="s">
        <v>94</v>
      </c>
      <c r="F1565" t="s">
        <v>21</v>
      </c>
      <c r="G1565">
        <v>-1000</v>
      </c>
      <c r="H1565">
        <v>152.1671</v>
      </c>
      <c r="I1565">
        <v>152167.1</v>
      </c>
      <c r="K1565">
        <v>152.1671</v>
      </c>
      <c r="L1565">
        <v>152167.1</v>
      </c>
      <c r="M1565" t="s">
        <v>93</v>
      </c>
      <c r="N1565" t="s">
        <v>361</v>
      </c>
    </row>
    <row r="1566" spans="1:14" x14ac:dyDescent="0.25">
      <c r="A1566" s="18">
        <v>46087</v>
      </c>
      <c r="B1566" t="s">
        <v>319</v>
      </c>
      <c r="C1566" t="s">
        <v>450</v>
      </c>
      <c r="D1566" t="s">
        <v>116</v>
      </c>
      <c r="E1566" t="s">
        <v>451</v>
      </c>
      <c r="F1566" t="s">
        <v>21</v>
      </c>
      <c r="G1566">
        <v>-27900</v>
      </c>
      <c r="H1566">
        <v>5.851</v>
      </c>
      <c r="I1566">
        <v>163242.9</v>
      </c>
      <c r="K1566">
        <v>5.851</v>
      </c>
      <c r="L1566">
        <v>163242.9</v>
      </c>
      <c r="M1566" t="s">
        <v>116</v>
      </c>
      <c r="N1566" t="s">
        <v>450</v>
      </c>
    </row>
    <row r="1567" spans="1:14" x14ac:dyDescent="0.25">
      <c r="A1567" s="18">
        <v>46087</v>
      </c>
      <c r="B1567" t="s">
        <v>319</v>
      </c>
      <c r="C1567" t="s">
        <v>764</v>
      </c>
      <c r="D1567" t="s">
        <v>765</v>
      </c>
      <c r="E1567" t="s">
        <v>766</v>
      </c>
      <c r="F1567" t="s">
        <v>36</v>
      </c>
      <c r="G1567">
        <v>-3400</v>
      </c>
      <c r="H1567">
        <v>38.108800000000002</v>
      </c>
      <c r="I1567">
        <v>129569.92000000001</v>
      </c>
      <c r="K1567">
        <v>38.108800000000002</v>
      </c>
      <c r="L1567">
        <v>129569.92000000001</v>
      </c>
      <c r="M1567" t="s">
        <v>765</v>
      </c>
      <c r="N1567" t="s">
        <v>764</v>
      </c>
    </row>
    <row r="1568" spans="1:14" x14ac:dyDescent="0.25">
      <c r="A1568" s="18">
        <v>46087</v>
      </c>
      <c r="B1568" t="s">
        <v>289</v>
      </c>
      <c r="C1568" t="s">
        <v>742</v>
      </c>
      <c r="D1568" t="s">
        <v>50</v>
      </c>
      <c r="E1568" t="s">
        <v>743</v>
      </c>
      <c r="F1568" t="s">
        <v>21</v>
      </c>
      <c r="G1568">
        <v>9000</v>
      </c>
      <c r="H1568">
        <v>10.762499999999999</v>
      </c>
      <c r="I1568">
        <v>-96862.5</v>
      </c>
      <c r="K1568">
        <v>10.762499999999999</v>
      </c>
      <c r="L1568">
        <v>-96862.5</v>
      </c>
      <c r="M1568" t="s">
        <v>50</v>
      </c>
      <c r="N1568" t="s">
        <v>742</v>
      </c>
    </row>
    <row r="1569" spans="1:14" x14ac:dyDescent="0.25">
      <c r="A1569" s="18">
        <v>46087</v>
      </c>
      <c r="B1569" t="s">
        <v>289</v>
      </c>
      <c r="C1569" t="s">
        <v>325</v>
      </c>
      <c r="D1569" t="s">
        <v>47</v>
      </c>
      <c r="E1569" t="s">
        <v>48</v>
      </c>
      <c r="F1569" t="s">
        <v>36</v>
      </c>
      <c r="G1569">
        <v>1050</v>
      </c>
      <c r="H1569">
        <v>79.882900000000006</v>
      </c>
      <c r="I1569">
        <v>-83877.045000000013</v>
      </c>
      <c r="K1569">
        <v>79.882900000000006</v>
      </c>
      <c r="L1569">
        <v>-83877.045000000013</v>
      </c>
      <c r="M1569" t="s">
        <v>47</v>
      </c>
      <c r="N1569" t="s">
        <v>325</v>
      </c>
    </row>
    <row r="1570" spans="1:14" x14ac:dyDescent="0.25">
      <c r="A1570" s="18">
        <v>46087</v>
      </c>
      <c r="B1570" t="s">
        <v>289</v>
      </c>
      <c r="C1570" t="s">
        <v>489</v>
      </c>
      <c r="D1570" t="s">
        <v>66</v>
      </c>
      <c r="E1570" t="s">
        <v>67</v>
      </c>
      <c r="F1570" t="s">
        <v>49</v>
      </c>
      <c r="G1570">
        <v>49</v>
      </c>
      <c r="H1570">
        <v>1773.29</v>
      </c>
      <c r="I1570">
        <v>-86891.209999999992</v>
      </c>
      <c r="K1570">
        <v>1773.2899999999997</v>
      </c>
      <c r="L1570">
        <v>-86891.209999999992</v>
      </c>
      <c r="M1570" t="s">
        <v>66</v>
      </c>
      <c r="N1570" t="s">
        <v>489</v>
      </c>
    </row>
    <row r="1571" spans="1:14" x14ac:dyDescent="0.25">
      <c r="A1571" s="18">
        <v>46090</v>
      </c>
      <c r="B1571" t="s">
        <v>289</v>
      </c>
      <c r="C1571" t="s">
        <v>311</v>
      </c>
      <c r="D1571" t="s">
        <v>312</v>
      </c>
      <c r="E1571" t="s">
        <v>313</v>
      </c>
      <c r="F1571" t="s">
        <v>21</v>
      </c>
      <c r="G1571">
        <v>510</v>
      </c>
      <c r="H1571">
        <v>305.2</v>
      </c>
      <c r="I1571">
        <v>-155652</v>
      </c>
      <c r="K1571">
        <v>305.2</v>
      </c>
      <c r="L1571">
        <v>-155652</v>
      </c>
      <c r="M1571" t="s">
        <v>312</v>
      </c>
      <c r="N1571" t="s">
        <v>311</v>
      </c>
    </row>
    <row r="1572" spans="1:14" x14ac:dyDescent="0.25">
      <c r="A1572" s="18">
        <v>46090</v>
      </c>
      <c r="B1572" t="s">
        <v>319</v>
      </c>
      <c r="C1572" t="s">
        <v>479</v>
      </c>
      <c r="D1572" t="s">
        <v>480</v>
      </c>
      <c r="E1572" t="s">
        <v>481</v>
      </c>
      <c r="F1572" t="s">
        <v>21</v>
      </c>
      <c r="G1572">
        <v>-983</v>
      </c>
      <c r="H1572">
        <v>159.31870000000001</v>
      </c>
      <c r="I1572">
        <v>156610.28210000001</v>
      </c>
      <c r="K1572">
        <v>159.31870000000001</v>
      </c>
      <c r="L1572">
        <v>156610.28210000001</v>
      </c>
      <c r="M1572" t="s">
        <v>480</v>
      </c>
      <c r="N1572" t="s">
        <v>479</v>
      </c>
    </row>
    <row r="1573" spans="1:14" x14ac:dyDescent="0.25">
      <c r="A1573" s="18">
        <v>46090</v>
      </c>
      <c r="B1573" t="s">
        <v>319</v>
      </c>
      <c r="C1573" t="s">
        <v>641</v>
      </c>
      <c r="D1573" t="s">
        <v>37</v>
      </c>
      <c r="E1573" t="s">
        <v>38</v>
      </c>
      <c r="F1573" t="s">
        <v>36</v>
      </c>
      <c r="G1573">
        <v>-5309</v>
      </c>
      <c r="H1573">
        <v>26.1235</v>
      </c>
      <c r="I1573">
        <v>138689.66149999999</v>
      </c>
      <c r="K1573">
        <v>26.123499999999996</v>
      </c>
      <c r="L1573">
        <v>138689.66149999999</v>
      </c>
      <c r="M1573" t="s">
        <v>37</v>
      </c>
      <c r="N1573" t="s">
        <v>641</v>
      </c>
    </row>
    <row r="1574" spans="1:14" x14ac:dyDescent="0.25">
      <c r="A1574" s="18">
        <v>46090</v>
      </c>
      <c r="B1574" t="s">
        <v>289</v>
      </c>
      <c r="C1574" t="s">
        <v>811</v>
      </c>
      <c r="D1574" t="s">
        <v>812</v>
      </c>
      <c r="E1574" t="s">
        <v>813</v>
      </c>
      <c r="F1574" t="s">
        <v>21</v>
      </c>
      <c r="G1574">
        <v>300</v>
      </c>
      <c r="H1574">
        <v>329.6</v>
      </c>
      <c r="I1574">
        <v>-98880</v>
      </c>
      <c r="K1574">
        <v>329.6</v>
      </c>
      <c r="L1574">
        <v>-98880</v>
      </c>
      <c r="M1574" t="s">
        <v>812</v>
      </c>
      <c r="N1574" t="s">
        <v>811</v>
      </c>
    </row>
    <row r="1575" spans="1:14" x14ac:dyDescent="0.25">
      <c r="A1575" s="18">
        <v>46090</v>
      </c>
      <c r="B1575" t="s">
        <v>319</v>
      </c>
      <c r="C1575" t="s">
        <v>630</v>
      </c>
      <c r="D1575" t="s">
        <v>631</v>
      </c>
      <c r="E1575" t="s">
        <v>632</v>
      </c>
      <c r="F1575" t="s">
        <v>21</v>
      </c>
      <c r="G1575">
        <v>-29550</v>
      </c>
      <c r="H1575">
        <v>2.0070000000000001</v>
      </c>
      <c r="I1575">
        <v>59306.850000000006</v>
      </c>
      <c r="K1575">
        <v>2.0070000000000001</v>
      </c>
      <c r="L1575">
        <v>59306.850000000006</v>
      </c>
      <c r="M1575" t="s">
        <v>631</v>
      </c>
      <c r="N1575" t="s">
        <v>630</v>
      </c>
    </row>
    <row r="1576" spans="1:14" x14ac:dyDescent="0.25">
      <c r="A1576" s="18">
        <v>46090</v>
      </c>
      <c r="B1576" t="s">
        <v>289</v>
      </c>
      <c r="C1576" t="s">
        <v>301</v>
      </c>
      <c r="D1576" t="s">
        <v>120</v>
      </c>
      <c r="E1576" t="s">
        <v>363</v>
      </c>
      <c r="F1576" t="s">
        <v>21</v>
      </c>
      <c r="G1576">
        <v>351</v>
      </c>
      <c r="H1576">
        <v>403.77069999999998</v>
      </c>
      <c r="I1576">
        <v>-141723.51569999999</v>
      </c>
      <c r="K1576">
        <v>403.77069999999998</v>
      </c>
      <c r="L1576">
        <v>-141723.51569999999</v>
      </c>
      <c r="M1576" t="s">
        <v>120</v>
      </c>
      <c r="N1576" t="s">
        <v>301</v>
      </c>
    </row>
    <row r="1577" spans="1:14" x14ac:dyDescent="0.25">
      <c r="A1577" s="18">
        <v>46090</v>
      </c>
      <c r="B1577" t="s">
        <v>319</v>
      </c>
      <c r="C1577" t="s">
        <v>633</v>
      </c>
      <c r="D1577" t="s">
        <v>634</v>
      </c>
      <c r="E1577" t="s">
        <v>281</v>
      </c>
      <c r="F1577" t="s">
        <v>21</v>
      </c>
      <c r="G1577">
        <v>-3500</v>
      </c>
      <c r="H1577">
        <v>47.66</v>
      </c>
      <c r="I1577">
        <v>166810</v>
      </c>
      <c r="K1577">
        <v>47.66</v>
      </c>
      <c r="L1577">
        <v>166810</v>
      </c>
      <c r="M1577" t="s">
        <v>634</v>
      </c>
      <c r="N1577" t="s">
        <v>633</v>
      </c>
    </row>
    <row r="1578" spans="1:14" x14ac:dyDescent="0.25">
      <c r="A1578" s="18">
        <v>46090</v>
      </c>
      <c r="B1578" t="s">
        <v>319</v>
      </c>
      <c r="C1578" t="s">
        <v>817</v>
      </c>
      <c r="D1578" t="s">
        <v>818</v>
      </c>
      <c r="E1578" t="s">
        <v>819</v>
      </c>
      <c r="F1578" t="s">
        <v>36</v>
      </c>
      <c r="G1578">
        <v>-4</v>
      </c>
      <c r="H1578">
        <v>10121.375</v>
      </c>
      <c r="I1578" t="e">
        <v>#VALUE!</v>
      </c>
      <c r="K1578" t="e">
        <v>#VALUE!</v>
      </c>
      <c r="L1578" t="e">
        <v>#VALUE!</v>
      </c>
      <c r="M1578" t="s">
        <v>818</v>
      </c>
      <c r="N1578" t="s">
        <v>817</v>
      </c>
    </row>
    <row r="1579" spans="1:14" x14ac:dyDescent="0.25">
      <c r="A1579" s="18">
        <v>46090</v>
      </c>
      <c r="B1579" t="s">
        <v>289</v>
      </c>
      <c r="C1579" t="s">
        <v>493</v>
      </c>
      <c r="D1579" t="s">
        <v>28</v>
      </c>
      <c r="E1579" t="s">
        <v>29</v>
      </c>
      <c r="F1579" t="s">
        <v>21</v>
      </c>
      <c r="G1579">
        <v>570</v>
      </c>
      <c r="H1579">
        <v>239.1</v>
      </c>
      <c r="I1579">
        <v>-136287</v>
      </c>
      <c r="K1579">
        <v>239.1</v>
      </c>
      <c r="L1579">
        <v>-136287</v>
      </c>
      <c r="M1579" t="s">
        <v>28</v>
      </c>
      <c r="N1579" t="s">
        <v>493</v>
      </c>
    </row>
    <row r="1580" spans="1:14" x14ac:dyDescent="0.25">
      <c r="A1580" s="18">
        <v>46090</v>
      </c>
      <c r="B1580" t="s">
        <v>319</v>
      </c>
      <c r="C1580" t="s">
        <v>780</v>
      </c>
      <c r="D1580" t="s">
        <v>781</v>
      </c>
      <c r="E1580" t="s">
        <v>782</v>
      </c>
      <c r="F1580" t="s">
        <v>21</v>
      </c>
      <c r="G1580">
        <v>-4540</v>
      </c>
      <c r="H1580">
        <v>30.760300000000001</v>
      </c>
      <c r="I1580">
        <v>139651.76200000002</v>
      </c>
      <c r="K1580">
        <v>30.760300000000004</v>
      </c>
      <c r="L1580">
        <v>139651.76200000002</v>
      </c>
      <c r="M1580" t="s">
        <v>781</v>
      </c>
      <c r="N1580" t="s">
        <v>780</v>
      </c>
    </row>
    <row r="1581" spans="1:14" x14ac:dyDescent="0.25">
      <c r="A1581" s="18">
        <v>46090</v>
      </c>
      <c r="B1581" t="s">
        <v>289</v>
      </c>
      <c r="C1581" t="s">
        <v>435</v>
      </c>
      <c r="D1581" t="s">
        <v>99</v>
      </c>
      <c r="E1581" t="s">
        <v>100</v>
      </c>
      <c r="F1581" t="s">
        <v>21</v>
      </c>
      <c r="G1581">
        <v>13000</v>
      </c>
      <c r="H1581">
        <v>9.2965999999999998</v>
      </c>
      <c r="I1581" t="e">
        <v>#VALUE!</v>
      </c>
      <c r="K1581" t="e">
        <v>#VALUE!</v>
      </c>
      <c r="L1581" t="e">
        <v>#VALUE!</v>
      </c>
      <c r="M1581" t="s">
        <v>99</v>
      </c>
      <c r="N1581" t="s">
        <v>435</v>
      </c>
    </row>
    <row r="1582" spans="1:14" x14ac:dyDescent="0.25">
      <c r="A1582" s="18">
        <v>46090</v>
      </c>
      <c r="B1582" t="s">
        <v>319</v>
      </c>
      <c r="C1582" t="s">
        <v>784</v>
      </c>
      <c r="D1582" t="s">
        <v>58</v>
      </c>
      <c r="E1582" t="s">
        <v>59</v>
      </c>
      <c r="F1582" t="s">
        <v>21</v>
      </c>
      <c r="G1582">
        <v>-3600</v>
      </c>
      <c r="H1582">
        <v>32.543100000000003</v>
      </c>
      <c r="I1582">
        <v>117155.16</v>
      </c>
      <c r="K1582">
        <v>32.543100000000003</v>
      </c>
      <c r="L1582">
        <v>117155.16</v>
      </c>
      <c r="M1582" t="s">
        <v>58</v>
      </c>
      <c r="N1582" t="s">
        <v>784</v>
      </c>
    </row>
    <row r="1583" spans="1:14" x14ac:dyDescent="0.25">
      <c r="A1583" s="18">
        <v>46090</v>
      </c>
      <c r="B1583" t="s">
        <v>319</v>
      </c>
      <c r="C1583" t="s">
        <v>817</v>
      </c>
      <c r="D1583" t="s">
        <v>818</v>
      </c>
      <c r="E1583" t="s">
        <v>819</v>
      </c>
      <c r="F1583" t="s">
        <v>36</v>
      </c>
      <c r="G1583">
        <v>-2</v>
      </c>
      <c r="H1583">
        <v>10168</v>
      </c>
      <c r="I1583" t="e">
        <v>#VALUE!</v>
      </c>
      <c r="K1583" t="e">
        <v>#VALUE!</v>
      </c>
      <c r="L1583" t="e">
        <v>#VALUE!</v>
      </c>
      <c r="M1583" t="s">
        <v>818</v>
      </c>
      <c r="N1583" t="s">
        <v>817</v>
      </c>
    </row>
    <row r="1584" spans="1:14" x14ac:dyDescent="0.25">
      <c r="A1584" s="18">
        <v>46090</v>
      </c>
      <c r="B1584" t="s">
        <v>319</v>
      </c>
      <c r="C1584" t="s">
        <v>633</v>
      </c>
      <c r="D1584" t="s">
        <v>634</v>
      </c>
      <c r="E1584" t="s">
        <v>281</v>
      </c>
      <c r="F1584" t="s">
        <v>21</v>
      </c>
      <c r="G1584">
        <v>-3518</v>
      </c>
      <c r="H1584">
        <v>47.76</v>
      </c>
      <c r="I1584">
        <v>168019.68</v>
      </c>
      <c r="K1584">
        <v>47.76</v>
      </c>
      <c r="L1584">
        <v>168019.68</v>
      </c>
      <c r="M1584" t="s">
        <v>634</v>
      </c>
      <c r="N1584" t="s">
        <v>633</v>
      </c>
    </row>
    <row r="1585" spans="1:14" x14ac:dyDescent="0.25">
      <c r="A1585" s="18">
        <v>46090</v>
      </c>
      <c r="B1585" t="s">
        <v>319</v>
      </c>
      <c r="C1585" t="s">
        <v>291</v>
      </c>
      <c r="D1585" t="s">
        <v>292</v>
      </c>
      <c r="E1585" t="s">
        <v>293</v>
      </c>
      <c r="F1585" t="s">
        <v>21</v>
      </c>
      <c r="G1585">
        <v>-89000</v>
      </c>
      <c r="H1585">
        <v>1.5550999999999999</v>
      </c>
      <c r="I1585">
        <v>138403.9</v>
      </c>
      <c r="K1585">
        <v>1.5550999999999999</v>
      </c>
      <c r="L1585">
        <v>138403.9</v>
      </c>
      <c r="M1585" t="s">
        <v>292</v>
      </c>
      <c r="N1585" t="s">
        <v>291</v>
      </c>
    </row>
    <row r="1586" spans="1:14" x14ac:dyDescent="0.25">
      <c r="A1586" s="18">
        <v>46090</v>
      </c>
      <c r="B1586" t="s">
        <v>289</v>
      </c>
      <c r="C1586" t="s">
        <v>582</v>
      </c>
      <c r="D1586" t="s">
        <v>83</v>
      </c>
      <c r="E1586" t="s">
        <v>583</v>
      </c>
      <c r="F1586" t="s">
        <v>82</v>
      </c>
      <c r="G1586">
        <v>632</v>
      </c>
      <c r="H1586">
        <v>138.05000000000001</v>
      </c>
      <c r="I1586">
        <v>-87247.6</v>
      </c>
      <c r="K1586">
        <v>138.05000000000001</v>
      </c>
      <c r="L1586">
        <v>-87247.6</v>
      </c>
      <c r="M1586" t="s">
        <v>83</v>
      </c>
      <c r="N1586" t="s">
        <v>582</v>
      </c>
    </row>
    <row r="1587" spans="1:14" x14ac:dyDescent="0.25">
      <c r="A1587" s="18">
        <v>46090</v>
      </c>
      <c r="B1587" t="s">
        <v>289</v>
      </c>
      <c r="C1587" t="s">
        <v>314</v>
      </c>
      <c r="D1587" t="s">
        <v>315</v>
      </c>
      <c r="E1587" t="s">
        <v>362</v>
      </c>
      <c r="F1587" t="s">
        <v>21</v>
      </c>
      <c r="G1587">
        <v>2800</v>
      </c>
      <c r="H1587">
        <v>25.225000000000001</v>
      </c>
      <c r="I1587">
        <v>-70630</v>
      </c>
      <c r="K1587">
        <v>25.225000000000001</v>
      </c>
      <c r="L1587">
        <v>-70630</v>
      </c>
      <c r="M1587" t="s">
        <v>315</v>
      </c>
      <c r="N1587" t="s">
        <v>314</v>
      </c>
    </row>
    <row r="1588" spans="1:14" x14ac:dyDescent="0.25">
      <c r="A1588" s="18">
        <v>46090</v>
      </c>
      <c r="B1588" t="s">
        <v>289</v>
      </c>
      <c r="C1588" t="s">
        <v>700</v>
      </c>
      <c r="D1588" t="s">
        <v>68</v>
      </c>
      <c r="E1588" t="s">
        <v>701</v>
      </c>
      <c r="F1588" t="s">
        <v>49</v>
      </c>
      <c r="G1588">
        <v>720</v>
      </c>
      <c r="H1588">
        <v>112.1078</v>
      </c>
      <c r="I1588">
        <v>-80717.615999999995</v>
      </c>
      <c r="K1588">
        <v>112.1078</v>
      </c>
      <c r="L1588">
        <v>-80717.615999999995</v>
      </c>
      <c r="M1588" t="s">
        <v>68</v>
      </c>
      <c r="N1588" t="s">
        <v>700</v>
      </c>
    </row>
    <row r="1589" spans="1:14" x14ac:dyDescent="0.25">
      <c r="A1589" s="18">
        <v>46090</v>
      </c>
      <c r="B1589" t="s">
        <v>289</v>
      </c>
      <c r="C1589" t="s">
        <v>484</v>
      </c>
      <c r="D1589" t="s">
        <v>30</v>
      </c>
      <c r="E1589" t="s">
        <v>31</v>
      </c>
      <c r="F1589" t="s">
        <v>21</v>
      </c>
      <c r="G1589">
        <v>315</v>
      </c>
      <c r="H1589">
        <v>152.9</v>
      </c>
      <c r="I1589">
        <v>-48163.5</v>
      </c>
      <c r="K1589">
        <v>152.9</v>
      </c>
      <c r="L1589">
        <v>-48163.5</v>
      </c>
      <c r="M1589" t="s">
        <v>30</v>
      </c>
      <c r="N1589" t="s">
        <v>484</v>
      </c>
    </row>
    <row r="1590" spans="1:14" x14ac:dyDescent="0.25">
      <c r="A1590" s="18">
        <v>46090</v>
      </c>
      <c r="B1590" t="s">
        <v>319</v>
      </c>
      <c r="C1590" t="s">
        <v>291</v>
      </c>
      <c r="D1590" t="s">
        <v>292</v>
      </c>
      <c r="E1590" t="s">
        <v>293</v>
      </c>
      <c r="F1590" t="s">
        <v>21</v>
      </c>
      <c r="G1590">
        <v>-89700</v>
      </c>
      <c r="H1590">
        <v>1.5604</v>
      </c>
      <c r="I1590">
        <v>139967.88</v>
      </c>
      <c r="K1590">
        <v>1.5604</v>
      </c>
      <c r="L1590">
        <v>139967.88</v>
      </c>
      <c r="M1590" t="s">
        <v>292</v>
      </c>
      <c r="N1590" t="s">
        <v>291</v>
      </c>
    </row>
    <row r="1591" spans="1:14" x14ac:dyDescent="0.25">
      <c r="A1591" s="18">
        <v>46091</v>
      </c>
      <c r="B1591" t="s">
        <v>289</v>
      </c>
      <c r="C1591" t="s">
        <v>705</v>
      </c>
      <c r="D1591" t="s">
        <v>706</v>
      </c>
      <c r="E1591" t="s">
        <v>707</v>
      </c>
      <c r="F1591" t="s">
        <v>21</v>
      </c>
      <c r="G1591">
        <v>8</v>
      </c>
      <c r="H1591">
        <v>23824</v>
      </c>
      <c r="I1591">
        <v>-952960</v>
      </c>
      <c r="K1591">
        <v>23824</v>
      </c>
      <c r="L1591">
        <v>-952960</v>
      </c>
      <c r="M1591" t="s">
        <v>706</v>
      </c>
      <c r="N1591" t="s">
        <v>705</v>
      </c>
    </row>
    <row r="1592" spans="1:14" x14ac:dyDescent="0.25">
      <c r="A1592" s="18">
        <v>46091</v>
      </c>
      <c r="B1592" t="s">
        <v>289</v>
      </c>
      <c r="C1592" t="s">
        <v>342</v>
      </c>
      <c r="D1592" t="s">
        <v>343</v>
      </c>
      <c r="E1592" t="s">
        <v>282</v>
      </c>
      <c r="F1592" t="s">
        <v>21</v>
      </c>
      <c r="G1592">
        <v>4100</v>
      </c>
      <c r="H1592">
        <v>76.628900000000002</v>
      </c>
      <c r="I1592">
        <v>-314178.49</v>
      </c>
      <c r="K1592">
        <v>76.628900000000002</v>
      </c>
      <c r="L1592">
        <v>-314178.49</v>
      </c>
      <c r="M1592" t="s">
        <v>343</v>
      </c>
      <c r="N1592" t="s">
        <v>342</v>
      </c>
    </row>
    <row r="1593" spans="1:14" x14ac:dyDescent="0.25">
      <c r="A1593" s="18">
        <v>46091</v>
      </c>
      <c r="B1593" t="s">
        <v>289</v>
      </c>
      <c r="C1593" t="s">
        <v>791</v>
      </c>
      <c r="D1593" t="s">
        <v>85</v>
      </c>
      <c r="E1593" t="s">
        <v>86</v>
      </c>
      <c r="F1593" t="s">
        <v>82</v>
      </c>
      <c r="G1593">
        <v>273</v>
      </c>
      <c r="H1593">
        <v>241.5187</v>
      </c>
      <c r="I1593">
        <v>-65934.605100000001</v>
      </c>
      <c r="K1593">
        <v>241.5187</v>
      </c>
      <c r="L1593">
        <v>-65934.605100000001</v>
      </c>
      <c r="M1593" t="s">
        <v>85</v>
      </c>
      <c r="N1593" t="s">
        <v>791</v>
      </c>
    </row>
    <row r="1594" spans="1:14" x14ac:dyDescent="0.25">
      <c r="A1594" s="18">
        <v>46091</v>
      </c>
      <c r="B1594" t="s">
        <v>319</v>
      </c>
      <c r="C1594" t="s">
        <v>493</v>
      </c>
      <c r="D1594" t="s">
        <v>28</v>
      </c>
      <c r="E1594" t="s">
        <v>29</v>
      </c>
      <c r="F1594" t="s">
        <v>21</v>
      </c>
      <c r="G1594">
        <v>-620</v>
      </c>
      <c r="H1594">
        <v>251.8</v>
      </c>
      <c r="I1594">
        <v>156116</v>
      </c>
      <c r="K1594">
        <v>251.8</v>
      </c>
      <c r="L1594">
        <v>156116</v>
      </c>
      <c r="M1594" t="s">
        <v>28</v>
      </c>
      <c r="N1594" t="s">
        <v>493</v>
      </c>
    </row>
    <row r="1595" spans="1:14" x14ac:dyDescent="0.25">
      <c r="A1595" s="18">
        <v>46091</v>
      </c>
      <c r="B1595" t="s">
        <v>319</v>
      </c>
      <c r="C1595" t="s">
        <v>582</v>
      </c>
      <c r="D1595" t="s">
        <v>83</v>
      </c>
      <c r="E1595" t="s">
        <v>583</v>
      </c>
      <c r="F1595" t="s">
        <v>82</v>
      </c>
      <c r="G1595">
        <v>-1000</v>
      </c>
      <c r="H1595">
        <v>141.05000000000001</v>
      </c>
      <c r="I1595">
        <v>141050</v>
      </c>
      <c r="K1595">
        <v>141.05000000000001</v>
      </c>
      <c r="L1595">
        <v>141050</v>
      </c>
      <c r="M1595" t="s">
        <v>83</v>
      </c>
      <c r="N1595" t="s">
        <v>582</v>
      </c>
    </row>
    <row r="1596" spans="1:14" x14ac:dyDescent="0.25">
      <c r="A1596" s="18">
        <v>46091</v>
      </c>
      <c r="B1596" t="s">
        <v>319</v>
      </c>
      <c r="C1596" t="s">
        <v>587</v>
      </c>
      <c r="D1596" t="s">
        <v>588</v>
      </c>
      <c r="E1596" t="s">
        <v>589</v>
      </c>
      <c r="F1596" t="s">
        <v>21</v>
      </c>
      <c r="G1596">
        <v>-1932</v>
      </c>
      <c r="H1596">
        <v>16.078499999999998</v>
      </c>
      <c r="I1596">
        <v>31063.661999999997</v>
      </c>
      <c r="K1596">
        <v>16.078499999999998</v>
      </c>
      <c r="L1596">
        <v>31063.661999999997</v>
      </c>
      <c r="M1596" t="s">
        <v>588</v>
      </c>
      <c r="N1596" t="s">
        <v>587</v>
      </c>
    </row>
    <row r="1597" spans="1:14" x14ac:dyDescent="0.25">
      <c r="A1597" s="18">
        <v>46091</v>
      </c>
      <c r="B1597" t="s">
        <v>319</v>
      </c>
      <c r="C1597" t="s">
        <v>775</v>
      </c>
      <c r="D1597" t="s">
        <v>126</v>
      </c>
      <c r="E1597" t="s">
        <v>776</v>
      </c>
      <c r="F1597" t="s">
        <v>21</v>
      </c>
      <c r="G1597">
        <v>-5500</v>
      </c>
      <c r="H1597">
        <v>118.03</v>
      </c>
      <c r="I1597">
        <v>649165</v>
      </c>
      <c r="K1597">
        <v>118.03</v>
      </c>
      <c r="L1597">
        <v>649165</v>
      </c>
      <c r="M1597" t="s">
        <v>126</v>
      </c>
      <c r="N1597" t="s">
        <v>775</v>
      </c>
    </row>
    <row r="1598" spans="1:14" x14ac:dyDescent="0.25">
      <c r="A1598" s="18">
        <v>46091</v>
      </c>
      <c r="B1598" t="s">
        <v>289</v>
      </c>
      <c r="C1598" t="s">
        <v>732</v>
      </c>
      <c r="D1598" t="s">
        <v>64</v>
      </c>
      <c r="E1598" t="s">
        <v>65</v>
      </c>
      <c r="F1598" t="s">
        <v>49</v>
      </c>
      <c r="G1598">
        <v>174</v>
      </c>
      <c r="H1598">
        <v>1001.74</v>
      </c>
      <c r="I1598">
        <v>-174302.76</v>
      </c>
      <c r="K1598">
        <v>1001.74</v>
      </c>
      <c r="L1598">
        <v>-174302.76</v>
      </c>
      <c r="M1598" t="s">
        <v>64</v>
      </c>
      <c r="N1598" t="s">
        <v>732</v>
      </c>
    </row>
    <row r="1599" spans="1:14" x14ac:dyDescent="0.25">
      <c r="A1599" s="18">
        <v>46091</v>
      </c>
      <c r="B1599" t="s">
        <v>289</v>
      </c>
      <c r="C1599" t="s">
        <v>814</v>
      </c>
      <c r="D1599" t="s">
        <v>815</v>
      </c>
      <c r="E1599" t="s">
        <v>816</v>
      </c>
      <c r="F1599" t="s">
        <v>21</v>
      </c>
      <c r="G1599">
        <v>490</v>
      </c>
      <c r="H1599">
        <v>321.8</v>
      </c>
      <c r="I1599">
        <v>-157682</v>
      </c>
      <c r="K1599">
        <v>321.8</v>
      </c>
      <c r="L1599">
        <v>-157682</v>
      </c>
      <c r="M1599" t="s">
        <v>815</v>
      </c>
      <c r="N1599" t="s">
        <v>814</v>
      </c>
    </row>
    <row r="1600" spans="1:14" x14ac:dyDescent="0.25">
      <c r="A1600" s="18">
        <v>46092</v>
      </c>
      <c r="B1600" t="s">
        <v>289</v>
      </c>
      <c r="C1600" t="s">
        <v>328</v>
      </c>
      <c r="D1600" t="s">
        <v>329</v>
      </c>
      <c r="E1600" t="s">
        <v>330</v>
      </c>
      <c r="F1600" t="s">
        <v>21</v>
      </c>
      <c r="G1600">
        <v>47</v>
      </c>
      <c r="H1600">
        <v>1580.7234000000001</v>
      </c>
      <c r="I1600">
        <v>-74293.999800000005</v>
      </c>
      <c r="K1600">
        <v>1580.7234000000001</v>
      </c>
      <c r="L1600">
        <v>-74293.999800000005</v>
      </c>
      <c r="M1600" t="s">
        <v>329</v>
      </c>
      <c r="N1600" t="s">
        <v>328</v>
      </c>
    </row>
    <row r="1601" spans="1:14" x14ac:dyDescent="0.25">
      <c r="A1601" s="18">
        <v>46092</v>
      </c>
      <c r="B1601" t="s">
        <v>319</v>
      </c>
      <c r="C1601" t="s">
        <v>705</v>
      </c>
      <c r="D1601" t="s">
        <v>706</v>
      </c>
      <c r="E1601" t="s">
        <v>707</v>
      </c>
      <c r="F1601" t="s">
        <v>21</v>
      </c>
      <c r="G1601">
        <v>-2</v>
      </c>
      <c r="H1601">
        <v>23672</v>
      </c>
      <c r="I1601">
        <v>236720</v>
      </c>
      <c r="K1601">
        <v>23672</v>
      </c>
      <c r="L1601">
        <v>236720</v>
      </c>
      <c r="M1601" t="s">
        <v>706</v>
      </c>
      <c r="N1601" t="s">
        <v>705</v>
      </c>
    </row>
    <row r="1602" spans="1:14" x14ac:dyDescent="0.25">
      <c r="A1602" s="18">
        <v>46092</v>
      </c>
      <c r="B1602" t="s">
        <v>289</v>
      </c>
      <c r="C1602" t="s">
        <v>450</v>
      </c>
      <c r="D1602" t="s">
        <v>116</v>
      </c>
      <c r="E1602" t="s">
        <v>451</v>
      </c>
      <c r="F1602" t="s">
        <v>21</v>
      </c>
      <c r="G1602">
        <v>15000</v>
      </c>
      <c r="H1602">
        <v>6.0659999999999998</v>
      </c>
      <c r="I1602">
        <v>-90990</v>
      </c>
      <c r="K1602">
        <v>6.0659999999999998</v>
      </c>
      <c r="L1602">
        <v>-90990</v>
      </c>
      <c r="M1602" t="s">
        <v>116</v>
      </c>
      <c r="N1602" t="s">
        <v>450</v>
      </c>
    </row>
    <row r="1603" spans="1:14" x14ac:dyDescent="0.25">
      <c r="A1603" s="18">
        <v>46092</v>
      </c>
      <c r="B1603" t="s">
        <v>289</v>
      </c>
      <c r="C1603" t="s">
        <v>720</v>
      </c>
      <c r="D1603" t="s">
        <v>721</v>
      </c>
      <c r="E1603" t="s">
        <v>722</v>
      </c>
      <c r="F1603" t="s">
        <v>49</v>
      </c>
      <c r="G1603">
        <v>1</v>
      </c>
      <c r="H1603">
        <v>25031.5</v>
      </c>
      <c r="I1603">
        <v>-500630</v>
      </c>
      <c r="K1603">
        <v>25031.5</v>
      </c>
      <c r="L1603">
        <v>-500630</v>
      </c>
      <c r="M1603" t="s">
        <v>721</v>
      </c>
      <c r="N1603" t="s">
        <v>720</v>
      </c>
    </row>
    <row r="1604" spans="1:14" x14ac:dyDescent="0.25">
      <c r="A1604" s="18">
        <v>46092</v>
      </c>
      <c r="B1604" t="s">
        <v>319</v>
      </c>
      <c r="C1604" t="s">
        <v>714</v>
      </c>
      <c r="D1604" t="s">
        <v>715</v>
      </c>
      <c r="E1604" t="s">
        <v>716</v>
      </c>
      <c r="F1604" t="s">
        <v>21</v>
      </c>
      <c r="G1604">
        <v>-7</v>
      </c>
      <c r="H1604">
        <v>5763</v>
      </c>
      <c r="I1604">
        <v>403410</v>
      </c>
      <c r="K1604">
        <v>5763</v>
      </c>
      <c r="L1604">
        <v>403410</v>
      </c>
      <c r="M1604" t="s">
        <v>715</v>
      </c>
      <c r="N1604" t="s">
        <v>714</v>
      </c>
    </row>
    <row r="1605" spans="1:14" x14ac:dyDescent="0.25">
      <c r="A1605" s="18">
        <v>46092</v>
      </c>
      <c r="B1605" t="s">
        <v>289</v>
      </c>
      <c r="C1605" t="s">
        <v>720</v>
      </c>
      <c r="D1605" t="s">
        <v>721</v>
      </c>
      <c r="E1605" t="s">
        <v>722</v>
      </c>
      <c r="F1605" t="s">
        <v>49</v>
      </c>
      <c r="G1605">
        <v>1</v>
      </c>
      <c r="H1605">
        <v>25109</v>
      </c>
      <c r="I1605">
        <v>-502180</v>
      </c>
      <c r="K1605">
        <v>25109</v>
      </c>
      <c r="L1605">
        <v>-502180</v>
      </c>
      <c r="M1605" t="s">
        <v>721</v>
      </c>
      <c r="N1605" t="s">
        <v>720</v>
      </c>
    </row>
    <row r="1606" spans="1:14" x14ac:dyDescent="0.25">
      <c r="A1606" s="18">
        <v>46092</v>
      </c>
      <c r="B1606" t="s">
        <v>319</v>
      </c>
      <c r="C1606" t="s">
        <v>820</v>
      </c>
      <c r="D1606" t="s">
        <v>821</v>
      </c>
      <c r="E1606" t="s">
        <v>822</v>
      </c>
      <c r="F1606" t="s">
        <v>49</v>
      </c>
      <c r="G1606">
        <v>-4</v>
      </c>
      <c r="H1606">
        <v>2563.7249999999999</v>
      </c>
      <c r="I1606">
        <v>512745</v>
      </c>
      <c r="K1606">
        <v>2563.7249999999999</v>
      </c>
      <c r="L1606">
        <v>512745</v>
      </c>
      <c r="M1606" t="s">
        <v>821</v>
      </c>
      <c r="N1606" t="s">
        <v>820</v>
      </c>
    </row>
    <row r="1607" spans="1:14" x14ac:dyDescent="0.25">
      <c r="A1607" s="18">
        <v>46092</v>
      </c>
      <c r="B1607" t="s">
        <v>319</v>
      </c>
      <c r="C1607" t="s">
        <v>785</v>
      </c>
      <c r="D1607" t="s">
        <v>786</v>
      </c>
      <c r="E1607" t="s">
        <v>787</v>
      </c>
      <c r="F1607" t="s">
        <v>21</v>
      </c>
      <c r="G1607">
        <v>-5</v>
      </c>
      <c r="H1607">
        <v>8014.4</v>
      </c>
      <c r="I1607">
        <v>400720</v>
      </c>
      <c r="K1607">
        <v>8014.4</v>
      </c>
      <c r="L1607">
        <v>400720</v>
      </c>
      <c r="M1607" t="s">
        <v>786</v>
      </c>
      <c r="N1607" t="s">
        <v>785</v>
      </c>
    </row>
    <row r="1608" spans="1:14" x14ac:dyDescent="0.25">
      <c r="A1608" s="18">
        <v>46092</v>
      </c>
      <c r="B1608" t="s">
        <v>319</v>
      </c>
      <c r="C1608" t="s">
        <v>777</v>
      </c>
      <c r="D1608" t="s">
        <v>778</v>
      </c>
      <c r="E1608" t="s">
        <v>779</v>
      </c>
      <c r="F1608" t="s">
        <v>82</v>
      </c>
      <c r="G1608">
        <v>-1855</v>
      </c>
      <c r="H1608">
        <v>67.5</v>
      </c>
      <c r="I1608">
        <v>125212.5</v>
      </c>
      <c r="K1608">
        <v>67.5</v>
      </c>
      <c r="L1608">
        <v>125212.5</v>
      </c>
      <c r="M1608" t="s">
        <v>778</v>
      </c>
      <c r="N1608" t="s">
        <v>777</v>
      </c>
    </row>
    <row r="1609" spans="1:14" x14ac:dyDescent="0.25">
      <c r="A1609" s="18">
        <v>46092</v>
      </c>
      <c r="B1609" t="s">
        <v>289</v>
      </c>
      <c r="C1609" t="s">
        <v>318</v>
      </c>
      <c r="D1609" t="s">
        <v>22</v>
      </c>
      <c r="E1609" t="s">
        <v>23</v>
      </c>
      <c r="F1609" t="s">
        <v>21</v>
      </c>
      <c r="G1609">
        <v>4500</v>
      </c>
      <c r="H1609">
        <v>22.563400000000001</v>
      </c>
      <c r="I1609">
        <v>-101535.3</v>
      </c>
      <c r="K1609">
        <v>22.563400000000001</v>
      </c>
      <c r="L1609">
        <v>-101535.3</v>
      </c>
      <c r="M1609" t="s">
        <v>22</v>
      </c>
      <c r="N1609" t="s">
        <v>318</v>
      </c>
    </row>
    <row r="1610" spans="1:14" x14ac:dyDescent="0.25">
      <c r="A1610" s="18">
        <v>46093</v>
      </c>
      <c r="B1610" t="s">
        <v>289</v>
      </c>
      <c r="C1610" t="s">
        <v>493</v>
      </c>
      <c r="D1610" t="s">
        <v>28</v>
      </c>
      <c r="E1610" t="s">
        <v>29</v>
      </c>
      <c r="F1610" t="s">
        <v>21</v>
      </c>
      <c r="G1610">
        <v>391</v>
      </c>
      <c r="H1610">
        <v>253.15</v>
      </c>
      <c r="I1610">
        <v>-98981.650000000009</v>
      </c>
      <c r="K1610">
        <v>253.15000000000003</v>
      </c>
      <c r="L1610">
        <v>-98981.650000000009</v>
      </c>
      <c r="M1610" t="s">
        <v>28</v>
      </c>
      <c r="N1610" t="s">
        <v>493</v>
      </c>
    </row>
    <row r="1611" spans="1:14" x14ac:dyDescent="0.25">
      <c r="A1611" s="18">
        <v>46093</v>
      </c>
      <c r="B1611" t="s">
        <v>289</v>
      </c>
      <c r="C1611" t="s">
        <v>314</v>
      </c>
      <c r="D1611" t="s">
        <v>315</v>
      </c>
      <c r="E1611" t="s">
        <v>362</v>
      </c>
      <c r="F1611" t="s">
        <v>21</v>
      </c>
      <c r="G1611">
        <v>3759</v>
      </c>
      <c r="H1611">
        <v>26.163399999999999</v>
      </c>
      <c r="I1611">
        <v>-98348.220600000001</v>
      </c>
      <c r="K1611">
        <v>26.163399999999999</v>
      </c>
      <c r="L1611">
        <v>-98348.220600000001</v>
      </c>
      <c r="M1611" t="s">
        <v>315</v>
      </c>
      <c r="N1611" t="s">
        <v>314</v>
      </c>
    </row>
    <row r="1612" spans="1:14" x14ac:dyDescent="0.25">
      <c r="A1612" s="18">
        <v>46093</v>
      </c>
      <c r="B1612" t="s">
        <v>319</v>
      </c>
      <c r="C1612" t="s">
        <v>325</v>
      </c>
      <c r="D1612" t="s">
        <v>47</v>
      </c>
      <c r="E1612" t="s">
        <v>48</v>
      </c>
      <c r="F1612" t="s">
        <v>36</v>
      </c>
      <c r="G1612">
        <v>-2226</v>
      </c>
      <c r="H1612">
        <v>76.938999999999993</v>
      </c>
      <c r="I1612">
        <v>171266.21399999998</v>
      </c>
      <c r="K1612">
        <v>76.938999999999993</v>
      </c>
      <c r="L1612">
        <v>171266.21399999998</v>
      </c>
      <c r="M1612" t="s">
        <v>47</v>
      </c>
      <c r="N1612" t="s">
        <v>325</v>
      </c>
    </row>
    <row r="1613" spans="1:14" x14ac:dyDescent="0.25">
      <c r="A1613" s="18">
        <v>46093</v>
      </c>
      <c r="B1613" t="s">
        <v>319</v>
      </c>
      <c r="C1613" t="s">
        <v>705</v>
      </c>
      <c r="D1613" t="s">
        <v>706</v>
      </c>
      <c r="E1613" t="s">
        <v>707</v>
      </c>
      <c r="F1613" t="s">
        <v>21</v>
      </c>
      <c r="G1613">
        <v>-8</v>
      </c>
      <c r="H1613">
        <v>23502</v>
      </c>
      <c r="I1613">
        <v>940080</v>
      </c>
      <c r="K1613">
        <v>23502</v>
      </c>
      <c r="L1613">
        <v>940080</v>
      </c>
      <c r="M1613" t="s">
        <v>706</v>
      </c>
      <c r="N1613" t="s">
        <v>705</v>
      </c>
    </row>
    <row r="1614" spans="1:14" x14ac:dyDescent="0.25">
      <c r="A1614" s="18">
        <v>46093</v>
      </c>
      <c r="B1614" t="s">
        <v>319</v>
      </c>
      <c r="C1614" t="s">
        <v>785</v>
      </c>
      <c r="D1614" t="s">
        <v>786</v>
      </c>
      <c r="E1614" t="s">
        <v>787</v>
      </c>
      <c r="F1614" t="s">
        <v>21</v>
      </c>
      <c r="G1614">
        <v>-12</v>
      </c>
      <c r="H1614">
        <v>7997.5</v>
      </c>
      <c r="I1614">
        <v>959700</v>
      </c>
      <c r="K1614">
        <v>7997.5</v>
      </c>
      <c r="L1614">
        <v>959700</v>
      </c>
      <c r="M1614" t="s">
        <v>786</v>
      </c>
      <c r="N1614" t="s">
        <v>785</v>
      </c>
    </row>
    <row r="1615" spans="1:14" x14ac:dyDescent="0.25">
      <c r="A1615" s="18">
        <v>46093</v>
      </c>
      <c r="B1615" t="s">
        <v>289</v>
      </c>
      <c r="C1615" t="s">
        <v>771</v>
      </c>
      <c r="D1615" t="s">
        <v>89</v>
      </c>
      <c r="E1615" t="s">
        <v>90</v>
      </c>
      <c r="F1615" t="s">
        <v>21</v>
      </c>
      <c r="G1615">
        <v>940</v>
      </c>
      <c r="H1615">
        <v>104.0521</v>
      </c>
      <c r="I1615">
        <v>-97808.974000000002</v>
      </c>
      <c r="K1615">
        <v>104.0521</v>
      </c>
      <c r="L1615">
        <v>-97808.974000000002</v>
      </c>
      <c r="M1615" t="s">
        <v>89</v>
      </c>
      <c r="N1615" t="s">
        <v>771</v>
      </c>
    </row>
    <row r="1616" spans="1:14" x14ac:dyDescent="0.25">
      <c r="A1616" s="18">
        <v>46094</v>
      </c>
      <c r="B1616" t="s">
        <v>319</v>
      </c>
      <c r="C1616" t="s">
        <v>714</v>
      </c>
      <c r="D1616" t="s">
        <v>715</v>
      </c>
      <c r="E1616" t="s">
        <v>716</v>
      </c>
      <c r="F1616" t="s">
        <v>21</v>
      </c>
      <c r="G1616">
        <v>-21</v>
      </c>
      <c r="H1616">
        <v>5703.5713999999998</v>
      </c>
      <c r="I1616">
        <v>1197749.9939999999</v>
      </c>
      <c r="K1616">
        <v>5703.5713999999998</v>
      </c>
      <c r="L1616">
        <v>1197749.9939999999</v>
      </c>
      <c r="M1616" t="s">
        <v>715</v>
      </c>
      <c r="N1616" t="s">
        <v>714</v>
      </c>
    </row>
    <row r="1617" spans="1:14" x14ac:dyDescent="0.25">
      <c r="A1617" s="18">
        <v>46094</v>
      </c>
      <c r="B1617" t="s">
        <v>289</v>
      </c>
      <c r="C1617" t="s">
        <v>742</v>
      </c>
      <c r="D1617" t="s">
        <v>50</v>
      </c>
      <c r="E1617" t="s">
        <v>743</v>
      </c>
      <c r="F1617" t="s">
        <v>21</v>
      </c>
      <c r="G1617">
        <v>11000</v>
      </c>
      <c r="H1617">
        <v>10.92</v>
      </c>
      <c r="I1617">
        <v>-120120</v>
      </c>
      <c r="K1617">
        <v>10.92</v>
      </c>
      <c r="L1617">
        <v>-120120</v>
      </c>
      <c r="M1617" t="s">
        <v>50</v>
      </c>
      <c r="N1617" t="s">
        <v>742</v>
      </c>
    </row>
    <row r="1618" spans="1:14" x14ac:dyDescent="0.25">
      <c r="A1618" s="18">
        <v>46094</v>
      </c>
      <c r="B1618" t="s">
        <v>289</v>
      </c>
      <c r="C1618" t="s">
        <v>753</v>
      </c>
      <c r="D1618" t="s">
        <v>754</v>
      </c>
      <c r="E1618" t="s">
        <v>276</v>
      </c>
      <c r="F1618" t="s">
        <v>21</v>
      </c>
      <c r="G1618">
        <v>1519</v>
      </c>
      <c r="H1618">
        <v>64.3</v>
      </c>
      <c r="I1618">
        <v>-97671.7</v>
      </c>
      <c r="K1618">
        <v>64.3</v>
      </c>
      <c r="L1618">
        <v>-97671.7</v>
      </c>
      <c r="M1618" t="s">
        <v>754</v>
      </c>
      <c r="N1618" t="s">
        <v>753</v>
      </c>
    </row>
    <row r="1619" spans="1:14" x14ac:dyDescent="0.25">
      <c r="A1619" s="18">
        <v>46094</v>
      </c>
      <c r="B1619" t="s">
        <v>289</v>
      </c>
      <c r="C1619" t="s">
        <v>361</v>
      </c>
      <c r="D1619" t="s">
        <v>93</v>
      </c>
      <c r="E1619" t="s">
        <v>94</v>
      </c>
      <c r="F1619" t="s">
        <v>21</v>
      </c>
      <c r="G1619">
        <v>659</v>
      </c>
      <c r="H1619">
        <v>148.44999999999999</v>
      </c>
      <c r="I1619">
        <v>-97828.549999999988</v>
      </c>
      <c r="K1619">
        <v>148.44999999999999</v>
      </c>
      <c r="L1619">
        <v>-97828.549999999988</v>
      </c>
      <c r="M1619" t="s">
        <v>93</v>
      </c>
      <c r="N1619" t="s">
        <v>361</v>
      </c>
    </row>
    <row r="1620" spans="1:14" x14ac:dyDescent="0.25">
      <c r="A1620" s="18">
        <v>46094</v>
      </c>
      <c r="B1620" t="s">
        <v>319</v>
      </c>
      <c r="C1620" t="s">
        <v>342</v>
      </c>
      <c r="D1620" t="s">
        <v>343</v>
      </c>
      <c r="E1620" t="s">
        <v>282</v>
      </c>
      <c r="F1620" t="s">
        <v>21</v>
      </c>
      <c r="G1620">
        <v>-2770</v>
      </c>
      <c r="H1620">
        <v>70.996499999999997</v>
      </c>
      <c r="I1620">
        <v>196660.30499999999</v>
      </c>
      <c r="K1620">
        <v>70.996499999999997</v>
      </c>
      <c r="L1620">
        <v>196660.30499999999</v>
      </c>
      <c r="M1620" t="s">
        <v>343</v>
      </c>
      <c r="N1620" t="s">
        <v>342</v>
      </c>
    </row>
    <row r="1621" spans="1:14" x14ac:dyDescent="0.25">
      <c r="A1621" s="18">
        <v>46094</v>
      </c>
      <c r="B1621" t="s">
        <v>319</v>
      </c>
      <c r="C1621" t="s">
        <v>435</v>
      </c>
      <c r="D1621" t="s">
        <v>99</v>
      </c>
      <c r="E1621" t="s">
        <v>100</v>
      </c>
      <c r="F1621" t="s">
        <v>21</v>
      </c>
      <c r="G1621">
        <v>-12500</v>
      </c>
      <c r="H1621">
        <v>9.4984999999999999</v>
      </c>
      <c r="I1621" t="e">
        <v>#VALUE!</v>
      </c>
      <c r="K1621" t="e">
        <v>#VALUE!</v>
      </c>
      <c r="L1621" t="e">
        <v>#VALUE!</v>
      </c>
      <c r="M1621" t="s">
        <v>99</v>
      </c>
      <c r="N1621" t="s">
        <v>435</v>
      </c>
    </row>
    <row r="1622" spans="1:14" x14ac:dyDescent="0.25">
      <c r="A1622" s="18">
        <v>46094</v>
      </c>
      <c r="B1622" t="s">
        <v>289</v>
      </c>
      <c r="C1622" t="s">
        <v>584</v>
      </c>
      <c r="D1622" t="s">
        <v>585</v>
      </c>
      <c r="E1622" t="s">
        <v>586</v>
      </c>
      <c r="F1622" t="s">
        <v>36</v>
      </c>
      <c r="G1622">
        <v>1205</v>
      </c>
      <c r="H1622">
        <v>143.386</v>
      </c>
      <c r="I1622">
        <v>-172780.13</v>
      </c>
      <c r="K1622">
        <v>143.386</v>
      </c>
      <c r="L1622">
        <v>-172780.13</v>
      </c>
      <c r="M1622" t="s">
        <v>585</v>
      </c>
      <c r="N1622" t="s">
        <v>584</v>
      </c>
    </row>
    <row r="1623" spans="1:14" x14ac:dyDescent="0.25">
      <c r="A1623" s="18">
        <v>46094</v>
      </c>
      <c r="B1623" t="s">
        <v>289</v>
      </c>
      <c r="C1623" t="s">
        <v>350</v>
      </c>
      <c r="D1623" t="s">
        <v>351</v>
      </c>
      <c r="E1623" t="s">
        <v>352</v>
      </c>
      <c r="F1623" t="s">
        <v>21</v>
      </c>
      <c r="G1623">
        <v>3599</v>
      </c>
      <c r="H1623">
        <v>55.795400000000001</v>
      </c>
      <c r="I1623">
        <v>-200807.6446</v>
      </c>
      <c r="K1623">
        <v>55.795400000000001</v>
      </c>
      <c r="L1623">
        <v>-200807.6446</v>
      </c>
      <c r="M1623" t="s">
        <v>351</v>
      </c>
      <c r="N1623" t="s">
        <v>350</v>
      </c>
    </row>
    <row r="1624" spans="1:14" x14ac:dyDescent="0.25">
      <c r="A1624" s="18">
        <v>46094</v>
      </c>
      <c r="B1624" t="s">
        <v>289</v>
      </c>
      <c r="C1624" t="s">
        <v>817</v>
      </c>
      <c r="D1624" t="s">
        <v>818</v>
      </c>
      <c r="E1624" t="s">
        <v>819</v>
      </c>
      <c r="F1624" t="s">
        <v>36</v>
      </c>
      <c r="G1624">
        <v>1</v>
      </c>
      <c r="H1624">
        <v>10280.5</v>
      </c>
      <c r="I1624" t="e">
        <v>#VALUE!</v>
      </c>
      <c r="K1624" t="e">
        <v>#VALUE!</v>
      </c>
      <c r="L1624" t="e">
        <v>#VALUE!</v>
      </c>
      <c r="M1624" t="s">
        <v>818</v>
      </c>
      <c r="N1624" t="s">
        <v>817</v>
      </c>
    </row>
    <row r="1625" spans="1:14" x14ac:dyDescent="0.25">
      <c r="A1625" s="18">
        <v>46094</v>
      </c>
      <c r="B1625" t="s">
        <v>289</v>
      </c>
      <c r="C1625" t="s">
        <v>823</v>
      </c>
      <c r="D1625" t="s">
        <v>824</v>
      </c>
      <c r="E1625" t="s">
        <v>280</v>
      </c>
      <c r="F1625" t="s">
        <v>21</v>
      </c>
      <c r="G1625">
        <v>128</v>
      </c>
      <c r="H1625">
        <v>1187.8</v>
      </c>
      <c r="I1625">
        <v>-152038.39999999999</v>
      </c>
      <c r="K1625">
        <v>1187.8</v>
      </c>
      <c r="L1625">
        <v>-152038.39999999999</v>
      </c>
      <c r="M1625" t="s">
        <v>824</v>
      </c>
      <c r="N1625" t="s">
        <v>823</v>
      </c>
    </row>
    <row r="1626" spans="1:14" x14ac:dyDescent="0.25">
      <c r="A1626" s="18">
        <v>46094</v>
      </c>
      <c r="B1626" t="s">
        <v>319</v>
      </c>
      <c r="C1626" t="s">
        <v>380</v>
      </c>
      <c r="D1626" t="s">
        <v>381</v>
      </c>
      <c r="E1626" t="s">
        <v>382</v>
      </c>
      <c r="F1626" t="s">
        <v>21</v>
      </c>
      <c r="G1626">
        <v>-148</v>
      </c>
      <c r="H1626">
        <v>1886.902</v>
      </c>
      <c r="I1626">
        <v>279261.49599999998</v>
      </c>
      <c r="K1626">
        <v>1886.9019999999998</v>
      </c>
      <c r="L1626">
        <v>279261.49599999998</v>
      </c>
      <c r="M1626" t="s">
        <v>381</v>
      </c>
      <c r="N1626" t="s">
        <v>380</v>
      </c>
    </row>
    <row r="1627" spans="1:14" x14ac:dyDescent="0.25">
      <c r="A1627" s="18">
        <v>46094</v>
      </c>
      <c r="B1627" t="s">
        <v>289</v>
      </c>
      <c r="C1627" t="s">
        <v>825</v>
      </c>
      <c r="D1627" t="s">
        <v>826</v>
      </c>
      <c r="E1627" t="s">
        <v>827</v>
      </c>
      <c r="F1627" t="s">
        <v>21</v>
      </c>
      <c r="G1627">
        <v>8450</v>
      </c>
      <c r="H1627">
        <v>33.133600000000001</v>
      </c>
      <c r="I1627">
        <v>-279978.92</v>
      </c>
      <c r="K1627">
        <v>33.133600000000001</v>
      </c>
      <c r="L1627">
        <v>-279978.92</v>
      </c>
      <c r="M1627" t="s">
        <v>826</v>
      </c>
      <c r="N1627" t="s">
        <v>825</v>
      </c>
    </row>
    <row r="1628" spans="1:14" x14ac:dyDescent="0.25">
      <c r="A1628" s="18">
        <v>46094</v>
      </c>
      <c r="B1628" t="s">
        <v>289</v>
      </c>
      <c r="C1628" t="s">
        <v>825</v>
      </c>
      <c r="D1628" t="s">
        <v>826</v>
      </c>
      <c r="E1628" t="s">
        <v>827</v>
      </c>
      <c r="F1628" t="s">
        <v>21</v>
      </c>
      <c r="G1628">
        <v>3000</v>
      </c>
      <c r="H1628">
        <v>33.215000000000003</v>
      </c>
      <c r="I1628">
        <v>-99645.000000000015</v>
      </c>
      <c r="K1628">
        <v>33.215000000000003</v>
      </c>
      <c r="L1628">
        <v>-99645.000000000015</v>
      </c>
      <c r="M1628" t="s">
        <v>826</v>
      </c>
      <c r="N1628" t="s">
        <v>825</v>
      </c>
    </row>
    <row r="1629" spans="1:14" x14ac:dyDescent="0.25">
      <c r="A1629" s="18">
        <v>46094</v>
      </c>
      <c r="B1629" t="s">
        <v>319</v>
      </c>
      <c r="C1629" t="s">
        <v>316</v>
      </c>
      <c r="D1629" t="s">
        <v>317</v>
      </c>
      <c r="E1629" t="s">
        <v>274</v>
      </c>
      <c r="F1629" t="s">
        <v>21</v>
      </c>
      <c r="G1629">
        <v>-2669</v>
      </c>
      <c r="H1629">
        <v>55.933900000000001</v>
      </c>
      <c r="I1629">
        <v>149287.5791</v>
      </c>
      <c r="K1629">
        <v>55.933900000000001</v>
      </c>
      <c r="L1629">
        <v>149287.5791</v>
      </c>
      <c r="M1629" t="s">
        <v>317</v>
      </c>
      <c r="N1629" t="s">
        <v>316</v>
      </c>
    </row>
    <row r="1630" spans="1:14" x14ac:dyDescent="0.25">
      <c r="A1630" s="18">
        <v>46094</v>
      </c>
      <c r="B1630" t="s">
        <v>319</v>
      </c>
      <c r="C1630" t="s">
        <v>325</v>
      </c>
      <c r="D1630" t="s">
        <v>47</v>
      </c>
      <c r="E1630" t="s">
        <v>48</v>
      </c>
      <c r="F1630" t="s">
        <v>36</v>
      </c>
      <c r="G1630">
        <v>-1720</v>
      </c>
      <c r="H1630">
        <v>75.003699999999995</v>
      </c>
      <c r="I1630">
        <v>129006.36399999999</v>
      </c>
      <c r="K1630">
        <v>75.003699999999995</v>
      </c>
      <c r="L1630">
        <v>129006.36399999999</v>
      </c>
      <c r="M1630" t="s">
        <v>47</v>
      </c>
      <c r="N1630" t="s">
        <v>325</v>
      </c>
    </row>
    <row r="1631" spans="1:14" x14ac:dyDescent="0.25">
      <c r="A1631" s="18">
        <v>46094</v>
      </c>
      <c r="B1631" t="s">
        <v>319</v>
      </c>
      <c r="C1631" t="s">
        <v>771</v>
      </c>
      <c r="D1631" t="s">
        <v>89</v>
      </c>
      <c r="E1631" t="s">
        <v>90</v>
      </c>
      <c r="F1631" t="s">
        <v>21</v>
      </c>
      <c r="G1631">
        <v>-1000</v>
      </c>
      <c r="H1631">
        <v>100.37439999999999</v>
      </c>
      <c r="I1631">
        <v>100374.39999999999</v>
      </c>
      <c r="K1631">
        <v>100.37439999999999</v>
      </c>
      <c r="L1631">
        <v>100374.39999999999</v>
      </c>
      <c r="M1631" t="s">
        <v>89</v>
      </c>
      <c r="N1631" t="s">
        <v>771</v>
      </c>
    </row>
    <row r="1632" spans="1:14" x14ac:dyDescent="0.25">
      <c r="A1632" s="18">
        <v>46094</v>
      </c>
      <c r="B1632" t="s">
        <v>319</v>
      </c>
      <c r="C1632" t="s">
        <v>320</v>
      </c>
      <c r="D1632" t="s">
        <v>321</v>
      </c>
      <c r="E1632" t="s">
        <v>322</v>
      </c>
      <c r="F1632" t="s">
        <v>36</v>
      </c>
      <c r="G1632">
        <v>-8164</v>
      </c>
      <c r="H1632">
        <v>17.850000000000001</v>
      </c>
      <c r="I1632">
        <v>145727.40000000002</v>
      </c>
      <c r="K1632">
        <v>17.850000000000001</v>
      </c>
      <c r="L1632">
        <v>145727.40000000002</v>
      </c>
      <c r="M1632" t="s">
        <v>321</v>
      </c>
      <c r="N1632" t="s">
        <v>320</v>
      </c>
    </row>
    <row r="1633" spans="1:14" x14ac:dyDescent="0.25">
      <c r="A1633" s="18">
        <v>46095</v>
      </c>
      <c r="B1633" t="s">
        <v>319</v>
      </c>
      <c r="C1633" t="s">
        <v>325</v>
      </c>
      <c r="D1633" t="s">
        <v>47</v>
      </c>
      <c r="E1633" t="s">
        <v>48</v>
      </c>
      <c r="F1633" t="s">
        <v>36</v>
      </c>
      <c r="G1633">
        <v>-1720</v>
      </c>
      <c r="H1633">
        <v>75.003699999999995</v>
      </c>
      <c r="I1633">
        <v>129006.36399999999</v>
      </c>
      <c r="K1633">
        <v>75.003699999999995</v>
      </c>
      <c r="L1633">
        <v>129006.36399999999</v>
      </c>
      <c r="M1633" t="s">
        <v>47</v>
      </c>
      <c r="N1633" t="s">
        <v>325</v>
      </c>
    </row>
    <row r="1634" spans="1:14" x14ac:dyDescent="0.25">
      <c r="A1634" s="18">
        <v>46097</v>
      </c>
      <c r="B1634" t="s">
        <v>319</v>
      </c>
      <c r="C1634" t="s">
        <v>619</v>
      </c>
      <c r="D1634" t="s">
        <v>620</v>
      </c>
      <c r="E1634" t="s">
        <v>621</v>
      </c>
      <c r="F1634" t="s">
        <v>21</v>
      </c>
      <c r="G1634">
        <v>-733</v>
      </c>
      <c r="H1634">
        <v>203.17089999999999</v>
      </c>
      <c r="I1634">
        <v>148924.2697</v>
      </c>
      <c r="K1634">
        <v>203.17090000000002</v>
      </c>
      <c r="L1634">
        <v>148924.2697</v>
      </c>
      <c r="M1634" t="s">
        <v>620</v>
      </c>
      <c r="N1634" t="s">
        <v>619</v>
      </c>
    </row>
    <row r="1635" spans="1:14" x14ac:dyDescent="0.25">
      <c r="A1635" s="18">
        <v>46097</v>
      </c>
      <c r="B1635" t="s">
        <v>289</v>
      </c>
      <c r="C1635" t="s">
        <v>714</v>
      </c>
      <c r="D1635" t="s">
        <v>715</v>
      </c>
      <c r="E1635" t="s">
        <v>716</v>
      </c>
      <c r="F1635" t="s">
        <v>21</v>
      </c>
      <c r="G1635">
        <v>5</v>
      </c>
      <c r="H1635">
        <v>5711</v>
      </c>
      <c r="I1635">
        <v>-285550</v>
      </c>
      <c r="K1635">
        <v>5711</v>
      </c>
      <c r="L1635">
        <v>-285550</v>
      </c>
      <c r="M1635" t="s">
        <v>715</v>
      </c>
      <c r="N1635" t="s">
        <v>714</v>
      </c>
    </row>
    <row r="1636" spans="1:14" x14ac:dyDescent="0.25">
      <c r="A1636" s="18">
        <v>46097</v>
      </c>
      <c r="B1636" t="s">
        <v>319</v>
      </c>
      <c r="C1636" t="s">
        <v>783</v>
      </c>
      <c r="D1636" t="s">
        <v>78</v>
      </c>
      <c r="E1636" t="s">
        <v>79</v>
      </c>
      <c r="F1636" t="s">
        <v>21</v>
      </c>
      <c r="G1636">
        <v>-3519</v>
      </c>
      <c r="H1636">
        <v>27.902100000000001</v>
      </c>
      <c r="I1636">
        <v>98187.4899</v>
      </c>
      <c r="K1636">
        <v>27.902100000000001</v>
      </c>
      <c r="L1636">
        <v>98187.4899</v>
      </c>
      <c r="M1636" t="s">
        <v>78</v>
      </c>
      <c r="N1636" t="s">
        <v>783</v>
      </c>
    </row>
    <row r="1637" spans="1:14" x14ac:dyDescent="0.25">
      <c r="A1637" s="18">
        <v>46097</v>
      </c>
      <c r="B1637" t="s">
        <v>289</v>
      </c>
      <c r="C1637" t="s">
        <v>785</v>
      </c>
      <c r="D1637" t="s">
        <v>786</v>
      </c>
      <c r="E1637" t="s">
        <v>787</v>
      </c>
      <c r="F1637" t="s">
        <v>21</v>
      </c>
      <c r="G1637">
        <v>2</v>
      </c>
      <c r="H1637">
        <v>7887.5</v>
      </c>
      <c r="I1637">
        <v>-157750</v>
      </c>
      <c r="K1637">
        <v>7887.5</v>
      </c>
      <c r="L1637">
        <v>-157750</v>
      </c>
      <c r="M1637" t="s">
        <v>786</v>
      </c>
      <c r="N1637" t="s">
        <v>785</v>
      </c>
    </row>
    <row r="1638" spans="1:14" x14ac:dyDescent="0.25">
      <c r="A1638" s="18">
        <v>46097</v>
      </c>
      <c r="B1638" t="s">
        <v>319</v>
      </c>
      <c r="C1638" t="s">
        <v>311</v>
      </c>
      <c r="D1638" t="s">
        <v>312</v>
      </c>
      <c r="E1638" t="s">
        <v>313</v>
      </c>
      <c r="F1638" t="s">
        <v>21</v>
      </c>
      <c r="G1638">
        <v>-399</v>
      </c>
      <c r="H1638">
        <v>299.8</v>
      </c>
      <c r="I1638">
        <v>119620.20000000001</v>
      </c>
      <c r="K1638">
        <v>299.8</v>
      </c>
      <c r="L1638">
        <v>119620.20000000001</v>
      </c>
      <c r="M1638" t="s">
        <v>312</v>
      </c>
      <c r="N1638" t="s">
        <v>311</v>
      </c>
    </row>
    <row r="1639" spans="1:14" x14ac:dyDescent="0.25">
      <c r="A1639" s="18">
        <v>46097</v>
      </c>
      <c r="B1639" t="s">
        <v>319</v>
      </c>
      <c r="C1639" t="s">
        <v>323</v>
      </c>
      <c r="D1639" t="s">
        <v>39</v>
      </c>
      <c r="E1639" t="s">
        <v>40</v>
      </c>
      <c r="F1639" t="s">
        <v>36</v>
      </c>
      <c r="G1639">
        <v>-2539</v>
      </c>
      <c r="H1639">
        <v>33.220799999999997</v>
      </c>
      <c r="I1639">
        <v>84347.611199999999</v>
      </c>
      <c r="K1639">
        <v>33.220799999999997</v>
      </c>
      <c r="L1639">
        <v>84347.611199999999</v>
      </c>
      <c r="M1639" t="s">
        <v>39</v>
      </c>
      <c r="N1639" t="s">
        <v>323</v>
      </c>
    </row>
    <row r="1640" spans="1:14" x14ac:dyDescent="0.25">
      <c r="A1640" s="18">
        <v>46097</v>
      </c>
      <c r="B1640" t="s">
        <v>319</v>
      </c>
      <c r="C1640" t="s">
        <v>484</v>
      </c>
      <c r="D1640" t="s">
        <v>30</v>
      </c>
      <c r="E1640" t="s">
        <v>31</v>
      </c>
      <c r="F1640" t="s">
        <v>21</v>
      </c>
      <c r="G1640">
        <v>-1268</v>
      </c>
      <c r="H1640">
        <v>149.0307</v>
      </c>
      <c r="I1640">
        <v>188970.9276</v>
      </c>
      <c r="K1640">
        <v>149.0307</v>
      </c>
      <c r="L1640">
        <v>188970.9276</v>
      </c>
      <c r="M1640" t="s">
        <v>30</v>
      </c>
      <c r="N1640" t="s">
        <v>484</v>
      </c>
    </row>
    <row r="1641" spans="1:14" x14ac:dyDescent="0.25">
      <c r="A1641" s="18">
        <v>46097</v>
      </c>
      <c r="B1641" t="s">
        <v>289</v>
      </c>
      <c r="C1641" t="s">
        <v>785</v>
      </c>
      <c r="D1641" t="s">
        <v>786</v>
      </c>
      <c r="E1641" t="s">
        <v>787</v>
      </c>
      <c r="F1641" t="s">
        <v>21</v>
      </c>
      <c r="G1641">
        <v>3</v>
      </c>
      <c r="H1641">
        <v>7889</v>
      </c>
      <c r="I1641">
        <v>-236670</v>
      </c>
      <c r="K1641">
        <v>7889</v>
      </c>
      <c r="L1641">
        <v>-236670</v>
      </c>
      <c r="M1641" t="s">
        <v>786</v>
      </c>
      <c r="N1641" t="s">
        <v>785</v>
      </c>
    </row>
    <row r="1642" spans="1:14" x14ac:dyDescent="0.25">
      <c r="A1642" s="18">
        <v>46097</v>
      </c>
      <c r="B1642" t="s">
        <v>319</v>
      </c>
      <c r="C1642" t="s">
        <v>772</v>
      </c>
      <c r="D1642" t="s">
        <v>773</v>
      </c>
      <c r="E1642" t="s">
        <v>774</v>
      </c>
      <c r="F1642" t="s">
        <v>21</v>
      </c>
      <c r="G1642">
        <v>-4000</v>
      </c>
      <c r="H1642">
        <v>113.273</v>
      </c>
      <c r="I1642">
        <v>453092</v>
      </c>
      <c r="K1642">
        <v>113.273</v>
      </c>
      <c r="L1642">
        <v>453092</v>
      </c>
      <c r="M1642" t="s">
        <v>773</v>
      </c>
      <c r="N1642" t="s">
        <v>772</v>
      </c>
    </row>
    <row r="1643" spans="1:14" x14ac:dyDescent="0.25">
      <c r="A1643" s="18">
        <v>46097</v>
      </c>
      <c r="B1643" t="s">
        <v>289</v>
      </c>
      <c r="C1643" t="s">
        <v>599</v>
      </c>
      <c r="D1643" t="s">
        <v>600</v>
      </c>
      <c r="E1643" t="s">
        <v>601</v>
      </c>
      <c r="F1643" t="s">
        <v>21</v>
      </c>
      <c r="G1643">
        <v>425</v>
      </c>
      <c r="H1643">
        <v>348.4</v>
      </c>
      <c r="I1643">
        <v>-148070</v>
      </c>
      <c r="K1643">
        <v>348.4</v>
      </c>
      <c r="L1643">
        <v>-148070</v>
      </c>
      <c r="M1643" t="s">
        <v>600</v>
      </c>
      <c r="N1643" t="s">
        <v>599</v>
      </c>
    </row>
    <row r="1644" spans="1:14" x14ac:dyDescent="0.25">
      <c r="A1644" s="18">
        <v>46097</v>
      </c>
      <c r="B1644" t="s">
        <v>319</v>
      </c>
      <c r="C1644" t="s">
        <v>435</v>
      </c>
      <c r="D1644" t="s">
        <v>99</v>
      </c>
      <c r="E1644" t="s">
        <v>100</v>
      </c>
      <c r="F1644" t="s">
        <v>21</v>
      </c>
      <c r="G1644">
        <v>-16000</v>
      </c>
      <c r="H1644">
        <v>9.3612000000000002</v>
      </c>
      <c r="I1644" t="e">
        <v>#VALUE!</v>
      </c>
      <c r="K1644" t="e">
        <v>#VALUE!</v>
      </c>
      <c r="L1644" t="e">
        <v>#VALUE!</v>
      </c>
      <c r="M1644" t="s">
        <v>99</v>
      </c>
      <c r="N1644" t="s">
        <v>435</v>
      </c>
    </row>
    <row r="1645" spans="1:14" x14ac:dyDescent="0.25">
      <c r="A1645" s="18">
        <v>46097</v>
      </c>
      <c r="B1645" t="s">
        <v>289</v>
      </c>
      <c r="C1645" t="s">
        <v>771</v>
      </c>
      <c r="D1645" t="s">
        <v>89</v>
      </c>
      <c r="E1645" t="s">
        <v>90</v>
      </c>
      <c r="F1645" t="s">
        <v>21</v>
      </c>
      <c r="G1645">
        <v>758</v>
      </c>
      <c r="H1645">
        <v>99.375</v>
      </c>
      <c r="I1645">
        <v>-75326.25</v>
      </c>
      <c r="K1645">
        <v>99.375</v>
      </c>
      <c r="L1645">
        <v>-75326.25</v>
      </c>
      <c r="M1645" t="s">
        <v>89</v>
      </c>
      <c r="N1645" t="s">
        <v>771</v>
      </c>
    </row>
    <row r="1646" spans="1:14" x14ac:dyDescent="0.25">
      <c r="A1646" s="18">
        <v>46097</v>
      </c>
      <c r="B1646" t="s">
        <v>319</v>
      </c>
      <c r="C1646" t="s">
        <v>775</v>
      </c>
      <c r="D1646" t="s">
        <v>126</v>
      </c>
      <c r="E1646" t="s">
        <v>776</v>
      </c>
      <c r="F1646" t="s">
        <v>21</v>
      </c>
      <c r="G1646">
        <v>-16500</v>
      </c>
      <c r="H1646">
        <v>118.05</v>
      </c>
      <c r="I1646">
        <v>1947825</v>
      </c>
      <c r="K1646">
        <v>118.05</v>
      </c>
      <c r="L1646">
        <v>1947825</v>
      </c>
      <c r="M1646" t="s">
        <v>126</v>
      </c>
      <c r="N1646" t="s">
        <v>775</v>
      </c>
    </row>
    <row r="1647" spans="1:14" x14ac:dyDescent="0.25">
      <c r="A1647" s="18">
        <v>46097</v>
      </c>
      <c r="B1647" t="s">
        <v>289</v>
      </c>
      <c r="C1647" t="s">
        <v>736</v>
      </c>
      <c r="D1647" t="s">
        <v>147</v>
      </c>
      <c r="E1647" t="s">
        <v>737</v>
      </c>
      <c r="F1647" t="s">
        <v>49</v>
      </c>
      <c r="G1647">
        <v>1100000</v>
      </c>
      <c r="H1647">
        <v>102.7168181818182</v>
      </c>
      <c r="I1647">
        <v>-1129885.0000000002</v>
      </c>
      <c r="K1647">
        <v>102.71681818181818</v>
      </c>
      <c r="L1647">
        <v>-1129885.0000000002</v>
      </c>
      <c r="M1647" t="s">
        <v>147</v>
      </c>
      <c r="N1647" t="s">
        <v>736</v>
      </c>
    </row>
    <row r="1648" spans="1:14" x14ac:dyDescent="0.25">
      <c r="A1648" s="18">
        <v>46097</v>
      </c>
      <c r="B1648" t="s">
        <v>319</v>
      </c>
      <c r="C1648" t="s">
        <v>799</v>
      </c>
      <c r="D1648" t="s">
        <v>800</v>
      </c>
      <c r="E1648" t="s">
        <v>801</v>
      </c>
      <c r="F1648" t="s">
        <v>21</v>
      </c>
      <c r="G1648">
        <v>-8</v>
      </c>
      <c r="H1648">
        <v>126.33</v>
      </c>
      <c r="I1648">
        <v>1010640</v>
      </c>
      <c r="K1648">
        <v>126.33</v>
      </c>
      <c r="L1648">
        <v>1010640</v>
      </c>
      <c r="M1648" t="s">
        <v>800</v>
      </c>
      <c r="N1648" t="s">
        <v>799</v>
      </c>
    </row>
    <row r="1649" spans="1:14" x14ac:dyDescent="0.25">
      <c r="A1649" s="18">
        <v>46097</v>
      </c>
      <c r="B1649" t="s">
        <v>289</v>
      </c>
      <c r="C1649" t="s">
        <v>828</v>
      </c>
      <c r="D1649" t="s">
        <v>829</v>
      </c>
      <c r="E1649" t="s">
        <v>830</v>
      </c>
      <c r="F1649" t="s">
        <v>49</v>
      </c>
      <c r="G1649">
        <v>207100</v>
      </c>
      <c r="H1649">
        <v>5.5312000000000001</v>
      </c>
      <c r="I1649">
        <v>-1145511.52</v>
      </c>
      <c r="K1649">
        <v>5.5312000000000001</v>
      </c>
      <c r="L1649">
        <v>-1145511.52</v>
      </c>
      <c r="M1649" t="s">
        <v>829</v>
      </c>
      <c r="N1649" t="s">
        <v>828</v>
      </c>
    </row>
    <row r="1650" spans="1:14" x14ac:dyDescent="0.25">
      <c r="A1650" s="18">
        <v>46097</v>
      </c>
      <c r="B1650" t="s">
        <v>319</v>
      </c>
      <c r="C1650" t="s">
        <v>805</v>
      </c>
      <c r="D1650" t="s">
        <v>806</v>
      </c>
      <c r="E1650" t="s">
        <v>807</v>
      </c>
      <c r="F1650" t="s">
        <v>21</v>
      </c>
      <c r="G1650">
        <v>-9</v>
      </c>
      <c r="H1650">
        <v>121.7788</v>
      </c>
      <c r="I1650">
        <v>1096009.2</v>
      </c>
      <c r="K1650">
        <v>121.77879999999999</v>
      </c>
      <c r="L1650">
        <v>1096009.2</v>
      </c>
      <c r="M1650" t="s">
        <v>806</v>
      </c>
      <c r="N1650" t="s">
        <v>805</v>
      </c>
    </row>
    <row r="1651" spans="1:14" x14ac:dyDescent="0.25">
      <c r="A1651" s="18">
        <v>46097</v>
      </c>
      <c r="B1651" t="s">
        <v>289</v>
      </c>
      <c r="C1651" t="s">
        <v>432</v>
      </c>
      <c r="D1651" t="s">
        <v>433</v>
      </c>
      <c r="E1651" t="s">
        <v>434</v>
      </c>
      <c r="F1651" t="s">
        <v>82</v>
      </c>
      <c r="G1651">
        <v>564</v>
      </c>
      <c r="H1651">
        <v>321.39999999999998</v>
      </c>
      <c r="I1651">
        <v>-181269.59999999998</v>
      </c>
      <c r="K1651">
        <v>321.39999999999998</v>
      </c>
      <c r="L1651">
        <v>-181269.59999999998</v>
      </c>
      <c r="M1651" t="s">
        <v>433</v>
      </c>
      <c r="N1651" t="s">
        <v>432</v>
      </c>
    </row>
    <row r="1652" spans="1:14" x14ac:dyDescent="0.25">
      <c r="A1652" s="18">
        <v>46097</v>
      </c>
      <c r="B1652" t="s">
        <v>319</v>
      </c>
      <c r="C1652" t="s">
        <v>584</v>
      </c>
      <c r="D1652" t="s">
        <v>585</v>
      </c>
      <c r="E1652" t="s">
        <v>586</v>
      </c>
      <c r="F1652" t="s">
        <v>36</v>
      </c>
      <c r="G1652">
        <v>-1205</v>
      </c>
      <c r="H1652">
        <v>143.91829999999999</v>
      </c>
      <c r="I1652">
        <v>173421.55149999997</v>
      </c>
      <c r="K1652">
        <v>143.91829999999999</v>
      </c>
      <c r="L1652">
        <v>173421.55149999997</v>
      </c>
      <c r="M1652" t="s">
        <v>585</v>
      </c>
      <c r="N1652" t="s">
        <v>584</v>
      </c>
    </row>
    <row r="1653" spans="1:14" x14ac:dyDescent="0.25">
      <c r="A1653" s="18">
        <v>46098</v>
      </c>
      <c r="B1653" t="s">
        <v>289</v>
      </c>
      <c r="C1653" t="s">
        <v>714</v>
      </c>
      <c r="D1653" t="s">
        <v>715</v>
      </c>
      <c r="E1653" t="s">
        <v>716</v>
      </c>
      <c r="F1653" t="s">
        <v>21</v>
      </c>
      <c r="G1653">
        <v>12</v>
      </c>
      <c r="H1653">
        <v>5731</v>
      </c>
      <c r="I1653">
        <v>-687720</v>
      </c>
      <c r="K1653">
        <v>5731</v>
      </c>
      <c r="L1653">
        <v>-687720</v>
      </c>
      <c r="M1653" t="s">
        <v>715</v>
      </c>
      <c r="N1653" t="s">
        <v>714</v>
      </c>
    </row>
    <row r="1654" spans="1:14" x14ac:dyDescent="0.25">
      <c r="A1654" s="18">
        <v>46098</v>
      </c>
      <c r="B1654" t="s">
        <v>289</v>
      </c>
      <c r="C1654" t="s">
        <v>831</v>
      </c>
      <c r="D1654" t="s">
        <v>832</v>
      </c>
      <c r="E1654" t="s">
        <v>833</v>
      </c>
      <c r="F1654" t="s">
        <v>82</v>
      </c>
      <c r="G1654">
        <v>564</v>
      </c>
      <c r="H1654">
        <v>300</v>
      </c>
      <c r="I1654">
        <v>-169200</v>
      </c>
      <c r="K1654">
        <v>300</v>
      </c>
      <c r="L1654">
        <v>-169200</v>
      </c>
      <c r="M1654" t="s">
        <v>832</v>
      </c>
      <c r="N1654" t="s">
        <v>831</v>
      </c>
    </row>
    <row r="1655" spans="1:14" x14ac:dyDescent="0.25">
      <c r="A1655" s="18">
        <v>46098</v>
      </c>
      <c r="B1655" t="s">
        <v>319</v>
      </c>
      <c r="C1655" t="s">
        <v>831</v>
      </c>
      <c r="D1655" t="s">
        <v>832</v>
      </c>
      <c r="E1655" t="s">
        <v>833</v>
      </c>
      <c r="F1655" t="s">
        <v>82</v>
      </c>
      <c r="G1655">
        <v>-564</v>
      </c>
      <c r="H1655">
        <v>323.89999999999998</v>
      </c>
      <c r="I1655">
        <v>182679.6</v>
      </c>
      <c r="K1655">
        <v>323.90000000000003</v>
      </c>
      <c r="L1655">
        <v>182679.6</v>
      </c>
      <c r="M1655" t="s">
        <v>832</v>
      </c>
      <c r="N1655" t="s">
        <v>831</v>
      </c>
    </row>
    <row r="1656" spans="1:14" x14ac:dyDescent="0.25">
      <c r="A1656" s="18">
        <v>46098</v>
      </c>
      <c r="B1656" t="s">
        <v>319</v>
      </c>
      <c r="C1656" t="s">
        <v>619</v>
      </c>
      <c r="D1656" t="s">
        <v>620</v>
      </c>
      <c r="E1656" t="s">
        <v>621</v>
      </c>
      <c r="F1656" t="s">
        <v>21</v>
      </c>
      <c r="G1656">
        <v>-495</v>
      </c>
      <c r="H1656">
        <v>202.9194</v>
      </c>
      <c r="I1656">
        <v>100445.103</v>
      </c>
      <c r="K1656">
        <v>202.9194</v>
      </c>
      <c r="L1656">
        <v>100445.103</v>
      </c>
      <c r="M1656" t="s">
        <v>620</v>
      </c>
      <c r="N1656" t="s">
        <v>619</v>
      </c>
    </row>
    <row r="1657" spans="1:14" x14ac:dyDescent="0.25">
      <c r="A1657" s="18">
        <v>46098</v>
      </c>
      <c r="B1657" t="s">
        <v>289</v>
      </c>
      <c r="C1657" t="s">
        <v>705</v>
      </c>
      <c r="D1657" t="s">
        <v>706</v>
      </c>
      <c r="E1657" t="s">
        <v>707</v>
      </c>
      <c r="F1657" t="s">
        <v>21</v>
      </c>
      <c r="G1657">
        <v>3</v>
      </c>
      <c r="H1657">
        <v>23484.333299999998</v>
      </c>
      <c r="I1657">
        <v>-352264.99949999998</v>
      </c>
      <c r="K1657">
        <v>23484.333299999998</v>
      </c>
      <c r="L1657">
        <v>-352264.99949999998</v>
      </c>
      <c r="M1657" t="s">
        <v>706</v>
      </c>
      <c r="N1657" t="s">
        <v>705</v>
      </c>
    </row>
    <row r="1658" spans="1:14" x14ac:dyDescent="0.25">
      <c r="A1658" s="18">
        <v>46098</v>
      </c>
      <c r="B1658" t="s">
        <v>289</v>
      </c>
      <c r="C1658" t="s">
        <v>450</v>
      </c>
      <c r="D1658" t="s">
        <v>116</v>
      </c>
      <c r="E1658" t="s">
        <v>451</v>
      </c>
      <c r="F1658" t="s">
        <v>21</v>
      </c>
      <c r="G1658">
        <v>21802</v>
      </c>
      <c r="H1658">
        <v>6.1639999999999997</v>
      </c>
      <c r="I1658">
        <v>-134387.52799999999</v>
      </c>
      <c r="K1658">
        <v>6.1639999999999997</v>
      </c>
      <c r="L1658">
        <v>-134387.52799999999</v>
      </c>
      <c r="M1658" t="s">
        <v>116</v>
      </c>
      <c r="N1658" t="s">
        <v>450</v>
      </c>
    </row>
    <row r="1659" spans="1:14" x14ac:dyDescent="0.25">
      <c r="A1659" s="18">
        <v>46098</v>
      </c>
      <c r="B1659" t="s">
        <v>289</v>
      </c>
      <c r="C1659" t="s">
        <v>714</v>
      </c>
      <c r="D1659" t="s">
        <v>715</v>
      </c>
      <c r="E1659" t="s">
        <v>716</v>
      </c>
      <c r="F1659" t="s">
        <v>21</v>
      </c>
      <c r="G1659">
        <v>11</v>
      </c>
      <c r="H1659">
        <v>5759</v>
      </c>
      <c r="I1659">
        <v>-633490</v>
      </c>
      <c r="K1659">
        <v>5759</v>
      </c>
      <c r="L1659">
        <v>-633490</v>
      </c>
      <c r="M1659" t="s">
        <v>715</v>
      </c>
      <c r="N1659" t="s">
        <v>714</v>
      </c>
    </row>
    <row r="1660" spans="1:14" x14ac:dyDescent="0.25">
      <c r="A1660" s="18">
        <v>46098</v>
      </c>
      <c r="B1660" t="s">
        <v>319</v>
      </c>
      <c r="C1660" t="s">
        <v>811</v>
      </c>
      <c r="D1660" t="s">
        <v>812</v>
      </c>
      <c r="E1660" t="s">
        <v>813</v>
      </c>
      <c r="F1660" t="s">
        <v>21</v>
      </c>
      <c r="G1660">
        <v>-755</v>
      </c>
      <c r="H1660">
        <v>343.7878</v>
      </c>
      <c r="I1660">
        <v>259559.78899999999</v>
      </c>
      <c r="K1660">
        <v>343.7878</v>
      </c>
      <c r="L1660">
        <v>259559.78899999999</v>
      </c>
      <c r="M1660" t="s">
        <v>812</v>
      </c>
      <c r="N1660" t="s">
        <v>811</v>
      </c>
    </row>
    <row r="1661" spans="1:14" x14ac:dyDescent="0.25">
      <c r="A1661" s="18">
        <v>46098</v>
      </c>
      <c r="B1661" t="s">
        <v>289</v>
      </c>
      <c r="C1661" t="s">
        <v>834</v>
      </c>
      <c r="D1661" t="s">
        <v>835</v>
      </c>
      <c r="E1661" t="s">
        <v>836</v>
      </c>
      <c r="F1661" t="s">
        <v>21</v>
      </c>
      <c r="G1661">
        <v>15000</v>
      </c>
      <c r="H1661">
        <v>13.906000000000001</v>
      </c>
      <c r="I1661">
        <v>-208590</v>
      </c>
      <c r="K1661">
        <v>13.906000000000001</v>
      </c>
      <c r="L1661">
        <v>-208590</v>
      </c>
      <c r="M1661" t="s">
        <v>835</v>
      </c>
      <c r="N1661" t="s">
        <v>834</v>
      </c>
    </row>
    <row r="1662" spans="1:14" x14ac:dyDescent="0.25">
      <c r="A1662" s="18">
        <v>46098</v>
      </c>
      <c r="B1662" t="s">
        <v>289</v>
      </c>
      <c r="C1662" t="s">
        <v>660</v>
      </c>
      <c r="D1662" t="s">
        <v>62</v>
      </c>
      <c r="E1662" t="s">
        <v>63</v>
      </c>
      <c r="F1662" t="s">
        <v>49</v>
      </c>
      <c r="G1662">
        <v>1130</v>
      </c>
      <c r="H1662">
        <v>306.39499999999998</v>
      </c>
      <c r="I1662">
        <v>-346226.35</v>
      </c>
      <c r="K1662">
        <v>306.39499999999998</v>
      </c>
      <c r="L1662">
        <v>-346226.35</v>
      </c>
      <c r="M1662" t="s">
        <v>62</v>
      </c>
      <c r="N1662" t="s">
        <v>660</v>
      </c>
    </row>
    <row r="1663" spans="1:14" x14ac:dyDescent="0.25">
      <c r="A1663" s="18">
        <v>46098</v>
      </c>
      <c r="B1663" t="s">
        <v>289</v>
      </c>
      <c r="C1663" t="s">
        <v>732</v>
      </c>
      <c r="D1663" t="s">
        <v>64</v>
      </c>
      <c r="E1663" t="s">
        <v>65</v>
      </c>
      <c r="F1663" t="s">
        <v>49</v>
      </c>
      <c r="G1663">
        <v>87</v>
      </c>
      <c r="H1663">
        <v>937.71</v>
      </c>
      <c r="I1663">
        <v>-81580.77</v>
      </c>
      <c r="K1663">
        <v>937.71</v>
      </c>
      <c r="L1663">
        <v>-81580.77</v>
      </c>
      <c r="M1663" t="s">
        <v>64</v>
      </c>
      <c r="N1663" t="s">
        <v>732</v>
      </c>
    </row>
    <row r="1664" spans="1:14" x14ac:dyDescent="0.25">
      <c r="A1664" s="18">
        <v>46098</v>
      </c>
      <c r="B1664" t="s">
        <v>319</v>
      </c>
      <c r="C1664" t="s">
        <v>311</v>
      </c>
      <c r="D1664" t="s">
        <v>312</v>
      </c>
      <c r="E1664" t="s">
        <v>313</v>
      </c>
      <c r="F1664" t="s">
        <v>21</v>
      </c>
      <c r="G1664">
        <v>-245</v>
      </c>
      <c r="H1664">
        <v>306.7</v>
      </c>
      <c r="I1664">
        <v>75141.5</v>
      </c>
      <c r="K1664">
        <v>306.7</v>
      </c>
      <c r="L1664">
        <v>75141.5</v>
      </c>
      <c r="M1664" t="s">
        <v>312</v>
      </c>
      <c r="N1664" t="s">
        <v>311</v>
      </c>
    </row>
    <row r="1665" spans="1:14" x14ac:dyDescent="0.25">
      <c r="A1665" s="18">
        <v>46099</v>
      </c>
      <c r="B1665" t="s">
        <v>289</v>
      </c>
      <c r="C1665" t="s">
        <v>323</v>
      </c>
      <c r="D1665" t="s">
        <v>39</v>
      </c>
      <c r="E1665" t="s">
        <v>40</v>
      </c>
      <c r="F1665" t="s">
        <v>36</v>
      </c>
      <c r="G1665">
        <v>2520</v>
      </c>
      <c r="H1665">
        <v>34.619999999999997</v>
      </c>
      <c r="I1665">
        <v>-87242.4</v>
      </c>
      <c r="K1665">
        <v>34.619999999999997</v>
      </c>
      <c r="L1665">
        <v>-87242.4</v>
      </c>
      <c r="M1665" t="s">
        <v>39</v>
      </c>
      <c r="N1665" t="s">
        <v>323</v>
      </c>
    </row>
    <row r="1666" spans="1:14" x14ac:dyDescent="0.25">
      <c r="A1666" s="18">
        <v>46099</v>
      </c>
      <c r="B1666" t="s">
        <v>289</v>
      </c>
      <c r="C1666" t="s">
        <v>723</v>
      </c>
      <c r="D1666" t="s">
        <v>724</v>
      </c>
      <c r="E1666" t="s">
        <v>725</v>
      </c>
      <c r="F1666" t="s">
        <v>49</v>
      </c>
      <c r="G1666">
        <v>4</v>
      </c>
      <c r="H1666">
        <v>6721.75</v>
      </c>
      <c r="I1666">
        <v>-1344350</v>
      </c>
      <c r="K1666">
        <v>6721.75</v>
      </c>
      <c r="L1666">
        <v>-1344350</v>
      </c>
      <c r="M1666" t="s">
        <v>724</v>
      </c>
      <c r="N1666" t="s">
        <v>723</v>
      </c>
    </row>
    <row r="1667" spans="1:14" x14ac:dyDescent="0.25">
      <c r="A1667" s="18">
        <v>46099</v>
      </c>
      <c r="B1667" t="s">
        <v>319</v>
      </c>
      <c r="C1667" t="s">
        <v>837</v>
      </c>
      <c r="D1667" t="s">
        <v>838</v>
      </c>
      <c r="E1667" t="s">
        <v>839</v>
      </c>
      <c r="F1667" t="s">
        <v>49</v>
      </c>
      <c r="G1667">
        <v>-4</v>
      </c>
      <c r="H1667">
        <v>6773.4</v>
      </c>
      <c r="I1667">
        <v>1354680</v>
      </c>
      <c r="K1667">
        <v>6773.4</v>
      </c>
      <c r="L1667">
        <v>1354680</v>
      </c>
      <c r="M1667" t="s">
        <v>838</v>
      </c>
      <c r="N1667" t="s">
        <v>837</v>
      </c>
    </row>
    <row r="1668" spans="1:14" x14ac:dyDescent="0.25">
      <c r="A1668" s="18">
        <v>46099</v>
      </c>
      <c r="B1668" t="s">
        <v>289</v>
      </c>
      <c r="C1668" t="s">
        <v>720</v>
      </c>
      <c r="D1668" t="s">
        <v>721</v>
      </c>
      <c r="E1668" t="s">
        <v>722</v>
      </c>
      <c r="F1668" t="s">
        <v>49</v>
      </c>
      <c r="G1668">
        <v>2</v>
      </c>
      <c r="H1668">
        <v>24795.5</v>
      </c>
      <c r="I1668">
        <v>-991820</v>
      </c>
      <c r="K1668">
        <v>24795.5</v>
      </c>
      <c r="L1668">
        <v>-991820</v>
      </c>
      <c r="M1668" t="s">
        <v>721</v>
      </c>
      <c r="N1668" t="s">
        <v>720</v>
      </c>
    </row>
    <row r="1669" spans="1:14" x14ac:dyDescent="0.25">
      <c r="A1669" s="18">
        <v>46099</v>
      </c>
      <c r="B1669" t="s">
        <v>319</v>
      </c>
      <c r="C1669" t="s">
        <v>840</v>
      </c>
      <c r="D1669" t="s">
        <v>841</v>
      </c>
      <c r="E1669" t="s">
        <v>842</v>
      </c>
      <c r="F1669" t="s">
        <v>49</v>
      </c>
      <c r="G1669">
        <v>-2</v>
      </c>
      <c r="H1669">
        <v>25016.2</v>
      </c>
      <c r="I1669">
        <v>1000648</v>
      </c>
      <c r="K1669">
        <v>25016.2</v>
      </c>
      <c r="L1669">
        <v>1000648</v>
      </c>
      <c r="M1669" t="s">
        <v>841</v>
      </c>
      <c r="N1669" t="s">
        <v>840</v>
      </c>
    </row>
    <row r="1670" spans="1:14" x14ac:dyDescent="0.25">
      <c r="A1670" s="18">
        <v>46099</v>
      </c>
      <c r="B1670" t="s">
        <v>289</v>
      </c>
      <c r="C1670" t="s">
        <v>714</v>
      </c>
      <c r="D1670" t="s">
        <v>715</v>
      </c>
      <c r="E1670" t="s">
        <v>716</v>
      </c>
      <c r="F1670" t="s">
        <v>21</v>
      </c>
      <c r="G1670">
        <v>26</v>
      </c>
      <c r="H1670">
        <v>5818.75</v>
      </c>
      <c r="I1670">
        <v>-1512875</v>
      </c>
      <c r="K1670">
        <v>5818.75</v>
      </c>
      <c r="L1670">
        <v>-1512875</v>
      </c>
      <c r="M1670" t="s">
        <v>715</v>
      </c>
      <c r="N1670" t="s">
        <v>714</v>
      </c>
    </row>
    <row r="1671" spans="1:14" x14ac:dyDescent="0.25">
      <c r="A1671" s="18">
        <v>46099</v>
      </c>
      <c r="B1671" t="s">
        <v>319</v>
      </c>
      <c r="C1671" t="s">
        <v>843</v>
      </c>
      <c r="D1671" t="s">
        <v>844</v>
      </c>
      <c r="E1671" t="s">
        <v>845</v>
      </c>
      <c r="F1671" t="s">
        <v>21</v>
      </c>
      <c r="G1671">
        <v>-26</v>
      </c>
      <c r="H1671">
        <v>5753.5</v>
      </c>
      <c r="I1671">
        <v>1495910</v>
      </c>
      <c r="K1671">
        <v>5753.5</v>
      </c>
      <c r="L1671">
        <v>1495910</v>
      </c>
      <c r="M1671" t="s">
        <v>844</v>
      </c>
      <c r="N1671" t="s">
        <v>843</v>
      </c>
    </row>
    <row r="1672" spans="1:14" x14ac:dyDescent="0.25">
      <c r="A1672" s="18">
        <v>46099</v>
      </c>
      <c r="B1672" t="s">
        <v>289</v>
      </c>
      <c r="C1672" t="s">
        <v>705</v>
      </c>
      <c r="D1672" t="s">
        <v>706</v>
      </c>
      <c r="E1672" t="s">
        <v>707</v>
      </c>
      <c r="F1672" t="s">
        <v>21</v>
      </c>
      <c r="G1672">
        <v>7</v>
      </c>
      <c r="H1672">
        <v>23884.5</v>
      </c>
      <c r="I1672">
        <v>-835957.5</v>
      </c>
      <c r="K1672">
        <v>23884.5</v>
      </c>
      <c r="L1672">
        <v>-835957.5</v>
      </c>
      <c r="M1672" t="s">
        <v>706</v>
      </c>
      <c r="N1672" t="s">
        <v>705</v>
      </c>
    </row>
    <row r="1673" spans="1:14" x14ac:dyDescent="0.25">
      <c r="A1673" s="18">
        <v>46099</v>
      </c>
      <c r="B1673" t="s">
        <v>319</v>
      </c>
      <c r="C1673" t="s">
        <v>846</v>
      </c>
      <c r="D1673" t="s">
        <v>847</v>
      </c>
      <c r="E1673" t="s">
        <v>848</v>
      </c>
      <c r="F1673" t="s">
        <v>21</v>
      </c>
      <c r="G1673">
        <v>-7</v>
      </c>
      <c r="H1673">
        <v>24097</v>
      </c>
      <c r="I1673">
        <v>843395</v>
      </c>
      <c r="K1673">
        <v>24097</v>
      </c>
      <c r="L1673">
        <v>843395</v>
      </c>
      <c r="M1673" t="s">
        <v>847</v>
      </c>
      <c r="N1673" t="s">
        <v>846</v>
      </c>
    </row>
    <row r="1674" spans="1:14" x14ac:dyDescent="0.25">
      <c r="A1674" s="18">
        <v>46099</v>
      </c>
      <c r="B1674" t="s">
        <v>289</v>
      </c>
      <c r="C1674" t="s">
        <v>785</v>
      </c>
      <c r="D1674" t="s">
        <v>786</v>
      </c>
      <c r="E1674" t="s">
        <v>787</v>
      </c>
      <c r="F1674" t="s">
        <v>21</v>
      </c>
      <c r="G1674">
        <v>35</v>
      </c>
      <c r="H1674">
        <v>8040</v>
      </c>
      <c r="I1674">
        <v>-2814000</v>
      </c>
      <c r="K1674">
        <v>8040</v>
      </c>
      <c r="L1674">
        <v>-2814000</v>
      </c>
      <c r="M1674" t="s">
        <v>786</v>
      </c>
      <c r="N1674" t="s">
        <v>785</v>
      </c>
    </row>
    <row r="1675" spans="1:14" x14ac:dyDescent="0.25">
      <c r="A1675" s="18">
        <v>46099</v>
      </c>
      <c r="B1675" t="s">
        <v>319</v>
      </c>
      <c r="C1675" t="s">
        <v>849</v>
      </c>
      <c r="D1675" t="s">
        <v>850</v>
      </c>
      <c r="E1675" t="s">
        <v>851</v>
      </c>
      <c r="F1675" t="s">
        <v>21</v>
      </c>
      <c r="G1675">
        <v>-35</v>
      </c>
      <c r="H1675">
        <v>8046.5</v>
      </c>
      <c r="I1675">
        <v>2816275</v>
      </c>
      <c r="K1675">
        <v>8046.5</v>
      </c>
      <c r="L1675">
        <v>2816275</v>
      </c>
      <c r="M1675" t="s">
        <v>850</v>
      </c>
      <c r="N1675" t="s">
        <v>849</v>
      </c>
    </row>
    <row r="1676" spans="1:14" x14ac:dyDescent="0.25">
      <c r="A1676" s="18">
        <v>46099</v>
      </c>
      <c r="B1676" t="s">
        <v>289</v>
      </c>
      <c r="C1676" t="s">
        <v>342</v>
      </c>
      <c r="D1676" t="s">
        <v>343</v>
      </c>
      <c r="E1676" t="s">
        <v>282</v>
      </c>
      <c r="F1676" t="s">
        <v>21</v>
      </c>
      <c r="G1676">
        <v>2110</v>
      </c>
      <c r="H1676">
        <v>72.420900000000003</v>
      </c>
      <c r="I1676">
        <v>-152808.09900000002</v>
      </c>
      <c r="K1676">
        <v>72.420900000000003</v>
      </c>
      <c r="L1676">
        <v>-152808.09900000002</v>
      </c>
      <c r="M1676" t="s">
        <v>343</v>
      </c>
      <c r="N1676" t="s">
        <v>342</v>
      </c>
    </row>
    <row r="1677" spans="1:14" x14ac:dyDescent="0.25">
      <c r="A1677" s="18">
        <v>46099</v>
      </c>
      <c r="B1677" t="s">
        <v>289</v>
      </c>
      <c r="C1677" t="s">
        <v>817</v>
      </c>
      <c r="D1677" t="s">
        <v>818</v>
      </c>
      <c r="E1677" t="s">
        <v>819</v>
      </c>
      <c r="F1677" t="s">
        <v>36</v>
      </c>
      <c r="G1677">
        <v>3</v>
      </c>
      <c r="H1677">
        <v>10424.5</v>
      </c>
      <c r="I1677" t="e">
        <v>#VALUE!</v>
      </c>
      <c r="K1677" t="e">
        <v>#VALUE!</v>
      </c>
      <c r="L1677" t="e">
        <v>#VALUE!</v>
      </c>
      <c r="M1677" t="s">
        <v>818</v>
      </c>
      <c r="N1677" t="s">
        <v>817</v>
      </c>
    </row>
    <row r="1678" spans="1:14" x14ac:dyDescent="0.25">
      <c r="A1678" s="18">
        <v>46099</v>
      </c>
      <c r="B1678" t="s">
        <v>289</v>
      </c>
      <c r="C1678" t="s">
        <v>435</v>
      </c>
      <c r="D1678" t="s">
        <v>99</v>
      </c>
      <c r="E1678" t="s">
        <v>100</v>
      </c>
      <c r="F1678" t="s">
        <v>21</v>
      </c>
      <c r="G1678">
        <v>15700</v>
      </c>
      <c r="H1678">
        <v>9.7535000000000007</v>
      </c>
      <c r="I1678" t="e">
        <v>#VALUE!</v>
      </c>
      <c r="K1678" t="e">
        <v>#VALUE!</v>
      </c>
      <c r="L1678" t="e">
        <v>#VALUE!</v>
      </c>
      <c r="M1678" t="s">
        <v>99</v>
      </c>
      <c r="N1678" t="s">
        <v>435</v>
      </c>
    </row>
    <row r="1679" spans="1:14" x14ac:dyDescent="0.25">
      <c r="A1679" s="18">
        <v>46099</v>
      </c>
      <c r="B1679" t="s">
        <v>289</v>
      </c>
      <c r="C1679" t="s">
        <v>753</v>
      </c>
      <c r="D1679" t="s">
        <v>754</v>
      </c>
      <c r="E1679" t="s">
        <v>276</v>
      </c>
      <c r="F1679" t="s">
        <v>21</v>
      </c>
      <c r="G1679">
        <v>1600</v>
      </c>
      <c r="H1679">
        <v>64.05</v>
      </c>
      <c r="I1679">
        <v>-102480</v>
      </c>
      <c r="K1679">
        <v>64.05</v>
      </c>
      <c r="L1679">
        <v>-102480</v>
      </c>
      <c r="M1679" t="s">
        <v>754</v>
      </c>
      <c r="N1679" t="s">
        <v>753</v>
      </c>
    </row>
    <row r="1680" spans="1:14" x14ac:dyDescent="0.25">
      <c r="A1680" s="18">
        <v>46099</v>
      </c>
      <c r="B1680" t="s">
        <v>289</v>
      </c>
      <c r="C1680" t="s">
        <v>435</v>
      </c>
      <c r="D1680" t="s">
        <v>99</v>
      </c>
      <c r="E1680" t="s">
        <v>100</v>
      </c>
      <c r="F1680" t="s">
        <v>21</v>
      </c>
      <c r="G1680">
        <v>10450</v>
      </c>
      <c r="H1680">
        <v>9.6295999999999999</v>
      </c>
      <c r="I1680" t="e">
        <v>#VALUE!</v>
      </c>
      <c r="K1680" t="e">
        <v>#VALUE!</v>
      </c>
      <c r="L1680" t="e">
        <v>#VALUE!</v>
      </c>
      <c r="M1680" t="s">
        <v>99</v>
      </c>
      <c r="N1680" t="s">
        <v>435</v>
      </c>
    </row>
    <row r="1681" spans="1:14" x14ac:dyDescent="0.25">
      <c r="A1681" s="18">
        <v>46099</v>
      </c>
      <c r="B1681" t="s">
        <v>289</v>
      </c>
      <c r="C1681" t="s">
        <v>582</v>
      </c>
      <c r="D1681" t="s">
        <v>83</v>
      </c>
      <c r="E1681" t="s">
        <v>583</v>
      </c>
      <c r="F1681" t="s">
        <v>82</v>
      </c>
      <c r="G1681">
        <v>800</v>
      </c>
      <c r="H1681">
        <v>136.40969999999999</v>
      </c>
      <c r="I1681">
        <v>-109127.76</v>
      </c>
      <c r="K1681">
        <v>136.40969999999999</v>
      </c>
      <c r="L1681">
        <v>-109127.76</v>
      </c>
      <c r="M1681" t="s">
        <v>83</v>
      </c>
      <c r="N1681" t="s">
        <v>582</v>
      </c>
    </row>
    <row r="1682" spans="1:14" x14ac:dyDescent="0.25">
      <c r="A1682" s="18">
        <v>46100</v>
      </c>
      <c r="B1682" t="s">
        <v>319</v>
      </c>
      <c r="C1682" t="s">
        <v>342</v>
      </c>
      <c r="D1682" t="s">
        <v>343</v>
      </c>
      <c r="E1682" t="s">
        <v>282</v>
      </c>
      <c r="F1682" t="s">
        <v>21</v>
      </c>
      <c r="G1682">
        <v>-3500</v>
      </c>
      <c r="H1682">
        <v>69.260000000000005</v>
      </c>
      <c r="I1682">
        <v>242410.00000000003</v>
      </c>
      <c r="K1682">
        <v>69.260000000000005</v>
      </c>
      <c r="L1682">
        <v>242410.00000000003</v>
      </c>
      <c r="M1682" t="s">
        <v>343</v>
      </c>
      <c r="N1682" t="s">
        <v>342</v>
      </c>
    </row>
    <row r="1683" spans="1:14" x14ac:dyDescent="0.25">
      <c r="A1683" s="18">
        <v>46100</v>
      </c>
      <c r="B1683" t="s">
        <v>319</v>
      </c>
      <c r="C1683" t="s">
        <v>342</v>
      </c>
      <c r="D1683" t="s">
        <v>343</v>
      </c>
      <c r="E1683" t="s">
        <v>282</v>
      </c>
      <c r="F1683" t="s">
        <v>21</v>
      </c>
      <c r="G1683">
        <v>-2056</v>
      </c>
      <c r="H1683">
        <v>69.240700000000004</v>
      </c>
      <c r="I1683">
        <v>142358.8792</v>
      </c>
      <c r="K1683">
        <v>69.240700000000004</v>
      </c>
      <c r="L1683">
        <v>142358.8792</v>
      </c>
      <c r="M1683" t="s">
        <v>343</v>
      </c>
      <c r="N1683" t="s">
        <v>342</v>
      </c>
    </row>
    <row r="1684" spans="1:14" x14ac:dyDescent="0.25">
      <c r="A1684" s="18">
        <v>46100</v>
      </c>
      <c r="B1684" t="s">
        <v>289</v>
      </c>
      <c r="C1684" t="s">
        <v>316</v>
      </c>
      <c r="D1684" t="s">
        <v>317</v>
      </c>
      <c r="E1684" t="s">
        <v>274</v>
      </c>
      <c r="F1684" t="s">
        <v>21</v>
      </c>
      <c r="G1684">
        <v>1320</v>
      </c>
      <c r="H1684">
        <v>54.58</v>
      </c>
      <c r="I1684">
        <v>-72045.599999999991</v>
      </c>
      <c r="K1684">
        <v>54.579999999999991</v>
      </c>
      <c r="L1684">
        <v>-72045.599999999991</v>
      </c>
      <c r="M1684" t="s">
        <v>317</v>
      </c>
      <c r="N1684" t="s">
        <v>316</v>
      </c>
    </row>
    <row r="1685" spans="1:14" x14ac:dyDescent="0.25">
      <c r="A1685" s="18">
        <v>46100</v>
      </c>
      <c r="B1685" t="s">
        <v>289</v>
      </c>
      <c r="C1685" t="s">
        <v>834</v>
      </c>
      <c r="D1685" t="s">
        <v>835</v>
      </c>
      <c r="E1685" t="s">
        <v>836</v>
      </c>
      <c r="F1685" t="s">
        <v>21</v>
      </c>
      <c r="G1685">
        <v>3550</v>
      </c>
      <c r="H1685">
        <v>13.13</v>
      </c>
      <c r="I1685">
        <v>-46611.5</v>
      </c>
      <c r="K1685">
        <v>13.13</v>
      </c>
      <c r="L1685">
        <v>-46611.5</v>
      </c>
      <c r="M1685" t="s">
        <v>835</v>
      </c>
      <c r="N1685" t="s">
        <v>834</v>
      </c>
    </row>
    <row r="1686" spans="1:14" x14ac:dyDescent="0.25">
      <c r="A1686" s="18">
        <v>46100</v>
      </c>
      <c r="B1686" t="s">
        <v>289</v>
      </c>
      <c r="C1686" t="s">
        <v>852</v>
      </c>
      <c r="D1686" t="s">
        <v>54</v>
      </c>
      <c r="E1686" t="s">
        <v>55</v>
      </c>
      <c r="F1686" t="s">
        <v>21</v>
      </c>
      <c r="G1686">
        <v>60000</v>
      </c>
      <c r="H1686">
        <v>3.3755999999999999</v>
      </c>
      <c r="I1686">
        <v>-202536</v>
      </c>
      <c r="K1686">
        <v>3.3755999999999999</v>
      </c>
      <c r="L1686">
        <v>-202536</v>
      </c>
      <c r="M1686" t="s">
        <v>54</v>
      </c>
      <c r="N1686" t="s">
        <v>852</v>
      </c>
    </row>
    <row r="1687" spans="1:14" x14ac:dyDescent="0.25">
      <c r="A1687" s="18">
        <v>46100</v>
      </c>
      <c r="B1687" t="s">
        <v>289</v>
      </c>
      <c r="C1687" t="s">
        <v>783</v>
      </c>
      <c r="D1687" t="s">
        <v>78</v>
      </c>
      <c r="E1687" t="s">
        <v>79</v>
      </c>
      <c r="F1687" t="s">
        <v>21</v>
      </c>
      <c r="G1687">
        <v>2800</v>
      </c>
      <c r="H1687">
        <v>27.719100000000001</v>
      </c>
      <c r="I1687">
        <v>-77613.48</v>
      </c>
      <c r="K1687">
        <v>27.719099999999997</v>
      </c>
      <c r="L1687">
        <v>-77613.48</v>
      </c>
      <c r="M1687" t="s">
        <v>78</v>
      </c>
      <c r="N1687" t="s">
        <v>783</v>
      </c>
    </row>
    <row r="1688" spans="1:14" x14ac:dyDescent="0.25">
      <c r="A1688" s="18">
        <v>46100</v>
      </c>
      <c r="B1688" t="s">
        <v>319</v>
      </c>
      <c r="C1688" t="s">
        <v>323</v>
      </c>
      <c r="D1688" t="s">
        <v>39</v>
      </c>
      <c r="E1688" t="s">
        <v>40</v>
      </c>
      <c r="F1688" t="s">
        <v>36</v>
      </c>
      <c r="G1688">
        <v>-2610</v>
      </c>
      <c r="H1688">
        <v>30.24</v>
      </c>
      <c r="I1688">
        <v>78926.399999999994</v>
      </c>
      <c r="K1688">
        <v>30.24</v>
      </c>
      <c r="L1688">
        <v>78926.399999999994</v>
      </c>
      <c r="M1688" t="s">
        <v>39</v>
      </c>
      <c r="N1688" t="s">
        <v>323</v>
      </c>
    </row>
    <row r="1689" spans="1:14" x14ac:dyDescent="0.25">
      <c r="A1689" s="18">
        <v>46100</v>
      </c>
      <c r="B1689" t="s">
        <v>289</v>
      </c>
      <c r="C1689" t="s">
        <v>452</v>
      </c>
      <c r="D1689" t="s">
        <v>453</v>
      </c>
      <c r="E1689" t="s">
        <v>454</v>
      </c>
      <c r="F1689" t="s">
        <v>162</v>
      </c>
      <c r="G1689">
        <v>3190</v>
      </c>
      <c r="H1689">
        <v>159.5</v>
      </c>
      <c r="I1689">
        <v>-508805</v>
      </c>
      <c r="K1689">
        <v>159.5</v>
      </c>
      <c r="L1689">
        <v>-508805</v>
      </c>
      <c r="M1689" t="s">
        <v>453</v>
      </c>
      <c r="N1689" t="s">
        <v>452</v>
      </c>
    </row>
    <row r="1690" spans="1:14" x14ac:dyDescent="0.25">
      <c r="A1690" s="18">
        <v>46100</v>
      </c>
      <c r="B1690" t="s">
        <v>289</v>
      </c>
      <c r="C1690" t="s">
        <v>764</v>
      </c>
      <c r="D1690" t="s">
        <v>765</v>
      </c>
      <c r="E1690" t="s">
        <v>766</v>
      </c>
      <c r="F1690" t="s">
        <v>36</v>
      </c>
      <c r="G1690">
        <v>1250</v>
      </c>
      <c r="H1690">
        <v>31.835000000000001</v>
      </c>
      <c r="I1690">
        <v>-39793.75</v>
      </c>
      <c r="K1690">
        <v>31.835000000000001</v>
      </c>
      <c r="L1690">
        <v>-39793.75</v>
      </c>
      <c r="M1690" t="s">
        <v>765</v>
      </c>
      <c r="N1690" t="s">
        <v>764</v>
      </c>
    </row>
    <row r="1691" spans="1:14" x14ac:dyDescent="0.25">
      <c r="A1691" s="18">
        <v>46100</v>
      </c>
      <c r="B1691" t="s">
        <v>319</v>
      </c>
      <c r="C1691" t="s">
        <v>548</v>
      </c>
      <c r="D1691" t="s">
        <v>549</v>
      </c>
      <c r="E1691" t="s">
        <v>550</v>
      </c>
      <c r="F1691" t="s">
        <v>21</v>
      </c>
      <c r="G1691">
        <v>-40000</v>
      </c>
      <c r="H1691">
        <v>3.7183999999999999</v>
      </c>
      <c r="I1691">
        <v>148736</v>
      </c>
      <c r="K1691">
        <v>3.7183999999999999</v>
      </c>
      <c r="L1691">
        <v>148736</v>
      </c>
      <c r="M1691" t="s">
        <v>549</v>
      </c>
      <c r="N1691" t="s">
        <v>548</v>
      </c>
    </row>
    <row r="1692" spans="1:14" x14ac:dyDescent="0.25">
      <c r="A1692" s="18">
        <v>46100</v>
      </c>
      <c r="B1692" t="s">
        <v>289</v>
      </c>
      <c r="C1692" t="s">
        <v>783</v>
      </c>
      <c r="D1692" t="s">
        <v>78</v>
      </c>
      <c r="E1692" t="s">
        <v>79</v>
      </c>
      <c r="F1692" t="s">
        <v>21</v>
      </c>
      <c r="G1692">
        <v>4500</v>
      </c>
      <c r="H1692">
        <v>28.711600000000001</v>
      </c>
      <c r="I1692">
        <v>-129202.2</v>
      </c>
      <c r="K1692">
        <v>28.711600000000001</v>
      </c>
      <c r="L1692">
        <v>-129202.2</v>
      </c>
      <c r="M1692" t="s">
        <v>78</v>
      </c>
      <c r="N1692" t="s">
        <v>783</v>
      </c>
    </row>
    <row r="1693" spans="1:14" x14ac:dyDescent="0.25">
      <c r="A1693" s="18">
        <v>46100</v>
      </c>
      <c r="B1693" t="s">
        <v>319</v>
      </c>
      <c r="C1693" t="s">
        <v>450</v>
      </c>
      <c r="D1693" t="s">
        <v>116</v>
      </c>
      <c r="E1693" t="s">
        <v>451</v>
      </c>
      <c r="F1693" t="s">
        <v>21</v>
      </c>
      <c r="G1693">
        <v>-27000</v>
      </c>
      <c r="H1693">
        <v>5.9509999999999996</v>
      </c>
      <c r="I1693">
        <v>160677</v>
      </c>
      <c r="K1693">
        <v>5.9509999999999996</v>
      </c>
      <c r="L1693">
        <v>160677</v>
      </c>
      <c r="M1693" t="s">
        <v>116</v>
      </c>
      <c r="N1693" t="s">
        <v>450</v>
      </c>
    </row>
    <row r="1694" spans="1:14" x14ac:dyDescent="0.25">
      <c r="A1694" s="18">
        <v>46100</v>
      </c>
      <c r="B1694" t="s">
        <v>319</v>
      </c>
      <c r="C1694" t="s">
        <v>792</v>
      </c>
      <c r="D1694" t="s">
        <v>106</v>
      </c>
      <c r="E1694" t="s">
        <v>793</v>
      </c>
      <c r="F1694" t="s">
        <v>21</v>
      </c>
      <c r="G1694">
        <v>-7800</v>
      </c>
      <c r="H1694">
        <v>20.05</v>
      </c>
      <c r="I1694">
        <v>156390</v>
      </c>
      <c r="K1694">
        <v>20.05</v>
      </c>
      <c r="L1694">
        <v>156390</v>
      </c>
      <c r="M1694" t="s">
        <v>106</v>
      </c>
      <c r="N1694" t="s">
        <v>792</v>
      </c>
    </row>
    <row r="1695" spans="1:14" x14ac:dyDescent="0.25">
      <c r="A1695" s="18">
        <v>46100</v>
      </c>
      <c r="B1695" t="s">
        <v>319</v>
      </c>
      <c r="C1695" t="s">
        <v>301</v>
      </c>
      <c r="D1695" t="s">
        <v>120</v>
      </c>
      <c r="E1695" t="s">
        <v>363</v>
      </c>
      <c r="F1695" t="s">
        <v>21</v>
      </c>
      <c r="G1695">
        <v>-533</v>
      </c>
      <c r="H1695">
        <v>366.18</v>
      </c>
      <c r="I1695">
        <v>195173.94</v>
      </c>
      <c r="K1695">
        <v>366.18</v>
      </c>
      <c r="L1695">
        <v>195173.94</v>
      </c>
      <c r="M1695" t="s">
        <v>120</v>
      </c>
      <c r="N1695" t="s">
        <v>301</v>
      </c>
    </row>
    <row r="1696" spans="1:14" x14ac:dyDescent="0.25">
      <c r="A1696" s="18">
        <v>46100</v>
      </c>
      <c r="B1696" t="s">
        <v>289</v>
      </c>
      <c r="C1696" t="s">
        <v>380</v>
      </c>
      <c r="D1696" t="s">
        <v>381</v>
      </c>
      <c r="E1696" t="s">
        <v>382</v>
      </c>
      <c r="F1696" t="s">
        <v>21</v>
      </c>
      <c r="G1696">
        <v>100</v>
      </c>
      <c r="H1696">
        <v>1749.5</v>
      </c>
      <c r="I1696">
        <v>-174950</v>
      </c>
      <c r="K1696">
        <v>1749.5</v>
      </c>
      <c r="L1696">
        <v>-174950</v>
      </c>
      <c r="M1696" t="s">
        <v>381</v>
      </c>
      <c r="N1696" t="s">
        <v>380</v>
      </c>
    </row>
    <row r="1697" spans="1:14" x14ac:dyDescent="0.25">
      <c r="A1697" s="18">
        <v>46100</v>
      </c>
      <c r="B1697" t="s">
        <v>319</v>
      </c>
      <c r="C1697" t="s">
        <v>325</v>
      </c>
      <c r="D1697" t="s">
        <v>47</v>
      </c>
      <c r="E1697" t="s">
        <v>48</v>
      </c>
      <c r="F1697" t="s">
        <v>36</v>
      </c>
      <c r="G1697">
        <v>-4218</v>
      </c>
      <c r="H1697">
        <v>75.424199999999999</v>
      </c>
      <c r="I1697">
        <v>318139.27559999999</v>
      </c>
      <c r="K1697">
        <v>75.424199999999999</v>
      </c>
      <c r="L1697">
        <v>318139.27559999999</v>
      </c>
      <c r="M1697" t="s">
        <v>47</v>
      </c>
      <c r="N1697" t="s">
        <v>325</v>
      </c>
    </row>
    <row r="1698" spans="1:14" x14ac:dyDescent="0.25">
      <c r="A1698" s="18">
        <v>46100</v>
      </c>
      <c r="B1698" t="s">
        <v>289</v>
      </c>
      <c r="C1698" t="s">
        <v>853</v>
      </c>
      <c r="D1698" t="s">
        <v>47</v>
      </c>
      <c r="E1698" t="s">
        <v>48</v>
      </c>
      <c r="F1698" t="s">
        <v>49</v>
      </c>
      <c r="G1698">
        <v>6000</v>
      </c>
      <c r="H1698">
        <v>100.8694</v>
      </c>
      <c r="I1698">
        <v>-605216.4</v>
      </c>
      <c r="K1698">
        <v>100.8694</v>
      </c>
      <c r="L1698">
        <v>-605216.4</v>
      </c>
      <c r="M1698" t="s">
        <v>47</v>
      </c>
      <c r="N1698" t="s">
        <v>853</v>
      </c>
    </row>
    <row r="1699" spans="1:14" x14ac:dyDescent="0.25">
      <c r="A1699" s="18">
        <v>46101</v>
      </c>
      <c r="B1699" t="s">
        <v>289</v>
      </c>
      <c r="C1699" t="s">
        <v>294</v>
      </c>
      <c r="D1699" t="s">
        <v>80</v>
      </c>
      <c r="E1699" t="s">
        <v>505</v>
      </c>
      <c r="F1699" t="s">
        <v>82</v>
      </c>
      <c r="G1699">
        <v>3502</v>
      </c>
      <c r="H1699">
        <v>64.819999999999993</v>
      </c>
      <c r="I1699">
        <v>-226999.63999999998</v>
      </c>
      <c r="K1699">
        <v>64.819999999999993</v>
      </c>
      <c r="L1699">
        <v>-226999.63999999998</v>
      </c>
      <c r="M1699" t="s">
        <v>80</v>
      </c>
      <c r="N1699" t="s">
        <v>294</v>
      </c>
    </row>
    <row r="1700" spans="1:14" x14ac:dyDescent="0.25">
      <c r="A1700" s="18">
        <v>46101</v>
      </c>
      <c r="B1700" t="s">
        <v>319</v>
      </c>
      <c r="C1700" t="s">
        <v>380</v>
      </c>
      <c r="D1700" t="s">
        <v>381</v>
      </c>
      <c r="E1700" t="s">
        <v>382</v>
      </c>
      <c r="F1700" t="s">
        <v>21</v>
      </c>
      <c r="G1700">
        <v>-86</v>
      </c>
      <c r="H1700">
        <v>1729.6395</v>
      </c>
      <c r="I1700">
        <v>148748.997</v>
      </c>
      <c r="K1700">
        <v>1729.6395</v>
      </c>
      <c r="L1700">
        <v>148748.997</v>
      </c>
      <c r="M1700" t="s">
        <v>381</v>
      </c>
      <c r="N1700" t="s">
        <v>380</v>
      </c>
    </row>
    <row r="1701" spans="1:14" x14ac:dyDescent="0.25">
      <c r="A1701" s="18">
        <v>46101</v>
      </c>
      <c r="B1701" t="s">
        <v>289</v>
      </c>
      <c r="C1701" t="s">
        <v>849</v>
      </c>
      <c r="D1701" t="s">
        <v>850</v>
      </c>
      <c r="E1701" t="s">
        <v>851</v>
      </c>
      <c r="F1701" t="s">
        <v>21</v>
      </c>
      <c r="G1701">
        <v>2</v>
      </c>
      <c r="H1701">
        <v>7838.5</v>
      </c>
      <c r="I1701">
        <v>-156770</v>
      </c>
      <c r="K1701">
        <v>7838.5</v>
      </c>
      <c r="L1701">
        <v>-156770</v>
      </c>
      <c r="M1701" t="s">
        <v>850</v>
      </c>
      <c r="N1701" t="s">
        <v>849</v>
      </c>
    </row>
    <row r="1702" spans="1:14" x14ac:dyDescent="0.25">
      <c r="A1702" s="18">
        <v>46101</v>
      </c>
      <c r="B1702" t="s">
        <v>319</v>
      </c>
      <c r="C1702" t="s">
        <v>380</v>
      </c>
      <c r="D1702" t="s">
        <v>381</v>
      </c>
      <c r="E1702" t="s">
        <v>382</v>
      </c>
      <c r="F1702" t="s">
        <v>21</v>
      </c>
      <c r="G1702">
        <v>-14</v>
      </c>
      <c r="H1702">
        <v>1717</v>
      </c>
      <c r="I1702">
        <v>24038</v>
      </c>
      <c r="K1702">
        <v>1717</v>
      </c>
      <c r="L1702">
        <v>24038</v>
      </c>
      <c r="M1702" t="s">
        <v>381</v>
      </c>
      <c r="N1702" t="s">
        <v>380</v>
      </c>
    </row>
    <row r="1703" spans="1:14" x14ac:dyDescent="0.25">
      <c r="A1703" s="18">
        <v>46101</v>
      </c>
      <c r="B1703" t="s">
        <v>319</v>
      </c>
      <c r="C1703" t="s">
        <v>755</v>
      </c>
      <c r="D1703" t="s">
        <v>756</v>
      </c>
      <c r="E1703" t="s">
        <v>757</v>
      </c>
      <c r="F1703" t="s">
        <v>49</v>
      </c>
      <c r="G1703">
        <v>-600</v>
      </c>
      <c r="H1703">
        <v>289.81599999999997</v>
      </c>
      <c r="I1703">
        <v>173889.59999999998</v>
      </c>
      <c r="K1703">
        <v>289.81599999999997</v>
      </c>
      <c r="L1703">
        <v>173889.59999999998</v>
      </c>
      <c r="M1703" t="s">
        <v>756</v>
      </c>
      <c r="N1703" t="s">
        <v>755</v>
      </c>
    </row>
    <row r="1704" spans="1:14" x14ac:dyDescent="0.25">
      <c r="A1704" s="18">
        <v>46101</v>
      </c>
      <c r="B1704" t="s">
        <v>319</v>
      </c>
      <c r="C1704" t="s">
        <v>311</v>
      </c>
      <c r="D1704" t="s">
        <v>312</v>
      </c>
      <c r="E1704" t="s">
        <v>313</v>
      </c>
      <c r="F1704" t="s">
        <v>21</v>
      </c>
      <c r="G1704">
        <v>-512</v>
      </c>
      <c r="H1704">
        <v>283.47519999999997</v>
      </c>
      <c r="I1704">
        <v>145139.30239999999</v>
      </c>
      <c r="K1704">
        <v>283.47519999999997</v>
      </c>
      <c r="L1704">
        <v>145139.30239999999</v>
      </c>
      <c r="M1704" t="s">
        <v>312</v>
      </c>
      <c r="N1704" t="s">
        <v>311</v>
      </c>
    </row>
    <row r="1705" spans="1:14" x14ac:dyDescent="0.25">
      <c r="A1705" s="18">
        <v>46101</v>
      </c>
      <c r="B1705" t="s">
        <v>289</v>
      </c>
      <c r="C1705" t="s">
        <v>849</v>
      </c>
      <c r="D1705" t="s">
        <v>850</v>
      </c>
      <c r="E1705" t="s">
        <v>851</v>
      </c>
      <c r="F1705" t="s">
        <v>21</v>
      </c>
      <c r="G1705">
        <v>1</v>
      </c>
      <c r="H1705">
        <v>7735.5</v>
      </c>
      <c r="I1705">
        <v>-77355</v>
      </c>
      <c r="K1705">
        <v>7735.5</v>
      </c>
      <c r="L1705">
        <v>-77355</v>
      </c>
      <c r="M1705" t="s">
        <v>850</v>
      </c>
      <c r="N1705" t="s">
        <v>849</v>
      </c>
    </row>
    <row r="1706" spans="1:14" x14ac:dyDescent="0.25">
      <c r="A1706" s="18">
        <v>46101</v>
      </c>
      <c r="B1706" t="s">
        <v>319</v>
      </c>
      <c r="C1706" t="s">
        <v>828</v>
      </c>
      <c r="D1706" t="s">
        <v>829</v>
      </c>
      <c r="E1706" t="s">
        <v>830</v>
      </c>
      <c r="F1706" t="s">
        <v>49</v>
      </c>
      <c r="G1706">
        <v>-88500</v>
      </c>
      <c r="H1706">
        <v>5.5179999999999998</v>
      </c>
      <c r="I1706">
        <v>488343</v>
      </c>
      <c r="K1706">
        <v>5.5179999999999998</v>
      </c>
      <c r="L1706">
        <v>488343</v>
      </c>
      <c r="M1706" t="s">
        <v>829</v>
      </c>
      <c r="N1706" t="s">
        <v>828</v>
      </c>
    </row>
    <row r="1707" spans="1:14" x14ac:dyDescent="0.25">
      <c r="A1707" s="18">
        <v>46101</v>
      </c>
      <c r="B1707" t="s">
        <v>319</v>
      </c>
      <c r="C1707" t="s">
        <v>314</v>
      </c>
      <c r="D1707" t="s">
        <v>315</v>
      </c>
      <c r="E1707" t="s">
        <v>362</v>
      </c>
      <c r="F1707" t="s">
        <v>21</v>
      </c>
      <c r="G1707">
        <v>-4899</v>
      </c>
      <c r="H1707">
        <v>24</v>
      </c>
      <c r="I1707">
        <v>117576</v>
      </c>
      <c r="K1707">
        <v>24</v>
      </c>
      <c r="L1707">
        <v>117576</v>
      </c>
      <c r="M1707" t="s">
        <v>315</v>
      </c>
      <c r="N1707" t="s">
        <v>314</v>
      </c>
    </row>
    <row r="1708" spans="1:14" x14ac:dyDescent="0.25">
      <c r="A1708" s="18">
        <v>46101</v>
      </c>
      <c r="B1708" t="s">
        <v>319</v>
      </c>
      <c r="C1708" t="s">
        <v>582</v>
      </c>
      <c r="D1708" t="s">
        <v>83</v>
      </c>
      <c r="E1708" t="s">
        <v>583</v>
      </c>
      <c r="F1708" t="s">
        <v>82</v>
      </c>
      <c r="G1708">
        <v>-1400</v>
      </c>
      <c r="H1708">
        <v>131.1</v>
      </c>
      <c r="I1708">
        <v>183540</v>
      </c>
      <c r="K1708">
        <v>131.1</v>
      </c>
      <c r="L1708">
        <v>183540</v>
      </c>
      <c r="M1708" t="s">
        <v>83</v>
      </c>
      <c r="N1708" t="s">
        <v>582</v>
      </c>
    </row>
    <row r="1709" spans="1:14" x14ac:dyDescent="0.25">
      <c r="A1709" s="18">
        <v>46101</v>
      </c>
      <c r="B1709" t="s">
        <v>319</v>
      </c>
      <c r="C1709" t="s">
        <v>328</v>
      </c>
      <c r="D1709" t="s">
        <v>329</v>
      </c>
      <c r="E1709" t="s">
        <v>330</v>
      </c>
      <c r="F1709" t="s">
        <v>21</v>
      </c>
      <c r="G1709">
        <v>-130</v>
      </c>
      <c r="H1709">
        <v>1517.85</v>
      </c>
      <c r="I1709">
        <v>197320.5</v>
      </c>
      <c r="K1709">
        <v>1517.85</v>
      </c>
      <c r="L1709">
        <v>197320.5</v>
      </c>
      <c r="M1709" t="s">
        <v>329</v>
      </c>
      <c r="N1709" t="s">
        <v>328</v>
      </c>
    </row>
    <row r="1710" spans="1:14" x14ac:dyDescent="0.25">
      <c r="A1710" s="18">
        <v>46101</v>
      </c>
      <c r="B1710" t="s">
        <v>319</v>
      </c>
      <c r="C1710" t="s">
        <v>771</v>
      </c>
      <c r="D1710" t="s">
        <v>89</v>
      </c>
      <c r="E1710" t="s">
        <v>90</v>
      </c>
      <c r="F1710" t="s">
        <v>21</v>
      </c>
      <c r="G1710">
        <v>-1550</v>
      </c>
      <c r="H1710">
        <v>96.6</v>
      </c>
      <c r="I1710">
        <v>149730</v>
      </c>
      <c r="K1710">
        <v>96.6</v>
      </c>
      <c r="L1710">
        <v>149730</v>
      </c>
      <c r="M1710" t="s">
        <v>89</v>
      </c>
      <c r="N1710" t="s">
        <v>771</v>
      </c>
    </row>
    <row r="1711" spans="1:14" x14ac:dyDescent="0.25">
      <c r="A1711" s="18">
        <v>46101</v>
      </c>
      <c r="B1711" t="s">
        <v>289</v>
      </c>
      <c r="C1711" t="s">
        <v>843</v>
      </c>
      <c r="D1711" t="s">
        <v>844</v>
      </c>
      <c r="E1711" t="s">
        <v>845</v>
      </c>
      <c r="F1711" t="s">
        <v>21</v>
      </c>
      <c r="G1711">
        <v>4</v>
      </c>
      <c r="H1711">
        <v>5448</v>
      </c>
      <c r="I1711">
        <v>-217920</v>
      </c>
      <c r="K1711">
        <v>5448</v>
      </c>
      <c r="L1711">
        <v>-217920</v>
      </c>
      <c r="M1711" t="s">
        <v>844</v>
      </c>
      <c r="N1711" t="s">
        <v>843</v>
      </c>
    </row>
    <row r="1712" spans="1:14" x14ac:dyDescent="0.25">
      <c r="A1712" s="18">
        <v>46101</v>
      </c>
      <c r="B1712" t="s">
        <v>289</v>
      </c>
      <c r="C1712" t="s">
        <v>846</v>
      </c>
      <c r="D1712" t="s">
        <v>847</v>
      </c>
      <c r="E1712" t="s">
        <v>848</v>
      </c>
      <c r="F1712" t="s">
        <v>21</v>
      </c>
      <c r="G1712">
        <v>4</v>
      </c>
      <c r="H1712">
        <v>22659.5</v>
      </c>
      <c r="I1712">
        <v>-453190</v>
      </c>
      <c r="K1712">
        <v>22659.5</v>
      </c>
      <c r="L1712">
        <v>-453190</v>
      </c>
      <c r="M1712" t="s">
        <v>847</v>
      </c>
      <c r="N1712" t="s">
        <v>846</v>
      </c>
    </row>
    <row r="1713" spans="1:14" x14ac:dyDescent="0.25">
      <c r="A1713" s="18">
        <v>46101</v>
      </c>
      <c r="B1713" t="s">
        <v>289</v>
      </c>
      <c r="C1713" t="s">
        <v>853</v>
      </c>
      <c r="D1713" t="s">
        <v>47</v>
      </c>
      <c r="E1713" t="s">
        <v>48</v>
      </c>
      <c r="F1713" t="s">
        <v>49</v>
      </c>
      <c r="G1713">
        <v>861</v>
      </c>
      <c r="H1713">
        <v>100.285</v>
      </c>
      <c r="I1713">
        <v>-86345.384999999995</v>
      </c>
      <c r="K1713">
        <v>100.285</v>
      </c>
      <c r="L1713">
        <v>-86345.384999999995</v>
      </c>
      <c r="M1713" t="s">
        <v>47</v>
      </c>
      <c r="N1713" t="s">
        <v>853</v>
      </c>
    </row>
    <row r="1714" spans="1:14" x14ac:dyDescent="0.25">
      <c r="A1714" s="18">
        <v>46101</v>
      </c>
      <c r="B1714" t="s">
        <v>289</v>
      </c>
      <c r="C1714" t="s">
        <v>294</v>
      </c>
      <c r="D1714" t="s">
        <v>80</v>
      </c>
      <c r="E1714" t="s">
        <v>505</v>
      </c>
      <c r="F1714" t="s">
        <v>82</v>
      </c>
      <c r="G1714">
        <v>1100</v>
      </c>
      <c r="H1714">
        <v>63.591799999999999</v>
      </c>
      <c r="I1714">
        <v>-69950.98</v>
      </c>
      <c r="K1714">
        <v>63.591799999999999</v>
      </c>
      <c r="L1714">
        <v>-69950.98</v>
      </c>
      <c r="M1714" t="s">
        <v>80</v>
      </c>
      <c r="N1714" t="s">
        <v>294</v>
      </c>
    </row>
    <row r="1715" spans="1:14" x14ac:dyDescent="0.25">
      <c r="A1715" s="18">
        <v>46101</v>
      </c>
      <c r="B1715" t="s">
        <v>319</v>
      </c>
      <c r="C1715" t="s">
        <v>792</v>
      </c>
      <c r="D1715" t="s">
        <v>106</v>
      </c>
      <c r="E1715" t="s">
        <v>793</v>
      </c>
      <c r="F1715" t="s">
        <v>21</v>
      </c>
      <c r="G1715">
        <v>-7400</v>
      </c>
      <c r="H1715">
        <v>19.7926</v>
      </c>
      <c r="I1715">
        <v>146465.24</v>
      </c>
      <c r="K1715">
        <v>19.7926</v>
      </c>
      <c r="L1715">
        <v>146465.24</v>
      </c>
      <c r="M1715" t="s">
        <v>106</v>
      </c>
      <c r="N1715" t="s">
        <v>792</v>
      </c>
    </row>
    <row r="1716" spans="1:14" x14ac:dyDescent="0.25">
      <c r="A1716" s="18">
        <v>46101</v>
      </c>
      <c r="B1716" t="s">
        <v>289</v>
      </c>
      <c r="C1716" t="s">
        <v>742</v>
      </c>
      <c r="D1716" t="s">
        <v>50</v>
      </c>
      <c r="E1716" t="s">
        <v>743</v>
      </c>
      <c r="F1716" t="s">
        <v>21</v>
      </c>
      <c r="G1716">
        <v>7000</v>
      </c>
      <c r="H1716">
        <v>10.5047</v>
      </c>
      <c r="I1716">
        <v>-73532.899999999994</v>
      </c>
      <c r="K1716">
        <v>10.5047</v>
      </c>
      <c r="L1716">
        <v>-73532.899999999994</v>
      </c>
      <c r="M1716" t="s">
        <v>50</v>
      </c>
      <c r="N1716" t="s">
        <v>742</v>
      </c>
    </row>
    <row r="1717" spans="1:14" x14ac:dyDescent="0.25">
      <c r="A1717" s="18">
        <v>46101</v>
      </c>
      <c r="B1717" t="s">
        <v>289</v>
      </c>
      <c r="C1717" t="s">
        <v>578</v>
      </c>
      <c r="D1717" t="s">
        <v>74</v>
      </c>
      <c r="E1717" t="s">
        <v>75</v>
      </c>
      <c r="F1717" t="s">
        <v>36</v>
      </c>
      <c r="G1717">
        <v>18599</v>
      </c>
      <c r="H1717">
        <v>2.2277999999999998</v>
      </c>
      <c r="I1717">
        <v>-41434.852199999994</v>
      </c>
      <c r="K1717">
        <v>2.2277999999999998</v>
      </c>
      <c r="L1717">
        <v>-41434.852199999994</v>
      </c>
      <c r="M1717" t="s">
        <v>74</v>
      </c>
      <c r="N1717" t="s">
        <v>578</v>
      </c>
    </row>
    <row r="1718" spans="1:14" x14ac:dyDescent="0.25">
      <c r="A1718" s="18">
        <v>46104</v>
      </c>
      <c r="B1718" t="s">
        <v>289</v>
      </c>
      <c r="C1718" t="s">
        <v>849</v>
      </c>
      <c r="D1718" t="s">
        <v>850</v>
      </c>
      <c r="E1718" t="s">
        <v>851</v>
      </c>
      <c r="F1718" t="s">
        <v>21</v>
      </c>
      <c r="G1718">
        <v>2</v>
      </c>
      <c r="H1718">
        <v>7548.5</v>
      </c>
      <c r="I1718">
        <v>-150970</v>
      </c>
      <c r="K1718">
        <v>7548.5</v>
      </c>
      <c r="L1718">
        <v>-150970</v>
      </c>
      <c r="M1718" t="s">
        <v>850</v>
      </c>
      <c r="N1718" t="s">
        <v>849</v>
      </c>
    </row>
    <row r="1719" spans="1:14" x14ac:dyDescent="0.25">
      <c r="A1719" s="18">
        <v>46104</v>
      </c>
      <c r="B1719" t="s">
        <v>289</v>
      </c>
      <c r="C1719" t="s">
        <v>354</v>
      </c>
      <c r="D1719" t="s">
        <v>355</v>
      </c>
      <c r="E1719" t="s">
        <v>356</v>
      </c>
      <c r="F1719" t="s">
        <v>21</v>
      </c>
      <c r="G1719">
        <v>1200</v>
      </c>
      <c r="H1719">
        <v>164.35390000000001</v>
      </c>
      <c r="I1719">
        <v>-197224.68000000002</v>
      </c>
      <c r="K1719">
        <v>164.35390000000001</v>
      </c>
      <c r="L1719">
        <v>-197224.68000000002</v>
      </c>
      <c r="M1719" t="s">
        <v>355</v>
      </c>
      <c r="N1719" t="s">
        <v>354</v>
      </c>
    </row>
    <row r="1720" spans="1:14" x14ac:dyDescent="0.25">
      <c r="A1720" s="18">
        <v>46104</v>
      </c>
      <c r="B1720" t="s">
        <v>319</v>
      </c>
      <c r="C1720" t="s">
        <v>825</v>
      </c>
      <c r="D1720" t="s">
        <v>826</v>
      </c>
      <c r="E1720" t="s">
        <v>827</v>
      </c>
      <c r="F1720" t="s">
        <v>21</v>
      </c>
      <c r="G1720">
        <v>-6429</v>
      </c>
      <c r="H1720">
        <v>30.235800000000001</v>
      </c>
      <c r="I1720">
        <v>194385.95819999999</v>
      </c>
      <c r="K1720">
        <v>30.235799999999998</v>
      </c>
      <c r="L1720">
        <v>194385.95819999999</v>
      </c>
      <c r="M1720" t="s">
        <v>826</v>
      </c>
      <c r="N1720" t="s">
        <v>825</v>
      </c>
    </row>
    <row r="1721" spans="1:14" x14ac:dyDescent="0.25">
      <c r="A1721" s="18">
        <v>46104</v>
      </c>
      <c r="B1721" t="s">
        <v>319</v>
      </c>
      <c r="C1721" t="s">
        <v>788</v>
      </c>
      <c r="D1721" t="s">
        <v>789</v>
      </c>
      <c r="E1721" t="s">
        <v>790</v>
      </c>
      <c r="F1721" t="s">
        <v>36</v>
      </c>
      <c r="G1721">
        <v>-9</v>
      </c>
      <c r="H1721">
        <v>86.06</v>
      </c>
      <c r="I1721">
        <v>774540</v>
      </c>
      <c r="K1721">
        <v>86.06</v>
      </c>
      <c r="L1721">
        <v>774540</v>
      </c>
      <c r="M1721" t="s">
        <v>789</v>
      </c>
      <c r="N1721" t="s">
        <v>788</v>
      </c>
    </row>
    <row r="1722" spans="1:14" x14ac:dyDescent="0.25">
      <c r="A1722" s="18">
        <v>46104</v>
      </c>
      <c r="B1722" t="s">
        <v>319</v>
      </c>
      <c r="C1722" t="s">
        <v>548</v>
      </c>
      <c r="D1722" t="s">
        <v>549</v>
      </c>
      <c r="E1722" t="s">
        <v>550</v>
      </c>
      <c r="F1722" t="s">
        <v>21</v>
      </c>
      <c r="G1722">
        <v>-72111</v>
      </c>
      <c r="H1722">
        <v>3.5024999999999999</v>
      </c>
      <c r="I1722">
        <v>252568.7775</v>
      </c>
      <c r="K1722">
        <v>3.5024999999999999</v>
      </c>
      <c r="L1722">
        <v>252568.7775</v>
      </c>
      <c r="M1722" t="s">
        <v>549</v>
      </c>
      <c r="N1722" t="s">
        <v>548</v>
      </c>
    </row>
    <row r="1723" spans="1:14" x14ac:dyDescent="0.25">
      <c r="A1723" s="18">
        <v>46104</v>
      </c>
      <c r="B1723" t="s">
        <v>319</v>
      </c>
      <c r="C1723" t="s">
        <v>796</v>
      </c>
      <c r="D1723" t="s">
        <v>797</v>
      </c>
      <c r="E1723" t="s">
        <v>798</v>
      </c>
      <c r="F1723" t="s">
        <v>21</v>
      </c>
      <c r="G1723">
        <v>-7</v>
      </c>
      <c r="H1723">
        <v>119.38</v>
      </c>
      <c r="I1723">
        <v>835660</v>
      </c>
      <c r="K1723">
        <v>119.38</v>
      </c>
      <c r="L1723">
        <v>835660</v>
      </c>
      <c r="M1723" t="s">
        <v>797</v>
      </c>
      <c r="N1723" t="s">
        <v>796</v>
      </c>
    </row>
    <row r="1724" spans="1:14" x14ac:dyDescent="0.25">
      <c r="A1724" s="18">
        <v>46104</v>
      </c>
      <c r="B1724" t="s">
        <v>289</v>
      </c>
      <c r="C1724" t="s">
        <v>739</v>
      </c>
      <c r="D1724" t="s">
        <v>740</v>
      </c>
      <c r="E1724" t="s">
        <v>741</v>
      </c>
      <c r="F1724" t="s">
        <v>49</v>
      </c>
      <c r="G1724">
        <v>879</v>
      </c>
      <c r="H1724">
        <v>341.43</v>
      </c>
      <c r="I1724">
        <v>-300116.97000000003</v>
      </c>
      <c r="K1724">
        <v>341.43</v>
      </c>
      <c r="L1724">
        <v>-300116.97000000003</v>
      </c>
      <c r="M1724" t="s">
        <v>740</v>
      </c>
      <c r="N1724" t="s">
        <v>739</v>
      </c>
    </row>
    <row r="1725" spans="1:14" x14ac:dyDescent="0.25">
      <c r="A1725" s="18">
        <v>46104</v>
      </c>
      <c r="B1725" t="s">
        <v>289</v>
      </c>
      <c r="C1725" t="s">
        <v>354</v>
      </c>
      <c r="D1725" t="s">
        <v>355</v>
      </c>
      <c r="E1725" t="s">
        <v>356</v>
      </c>
      <c r="F1725" t="s">
        <v>21</v>
      </c>
      <c r="G1725">
        <v>1200</v>
      </c>
      <c r="H1725">
        <v>169.1096</v>
      </c>
      <c r="I1725">
        <v>-202931.52</v>
      </c>
      <c r="K1725">
        <v>169.1096</v>
      </c>
      <c r="L1725">
        <v>-202931.52</v>
      </c>
      <c r="M1725" t="s">
        <v>355</v>
      </c>
      <c r="N1725" t="s">
        <v>354</v>
      </c>
    </row>
    <row r="1726" spans="1:14" x14ac:dyDescent="0.25">
      <c r="A1726" s="18">
        <v>46104</v>
      </c>
      <c r="B1726" t="s">
        <v>289</v>
      </c>
      <c r="C1726" t="s">
        <v>849</v>
      </c>
      <c r="D1726" t="s">
        <v>850</v>
      </c>
      <c r="E1726" t="s">
        <v>851</v>
      </c>
      <c r="F1726" t="s">
        <v>21</v>
      </c>
      <c r="G1726">
        <v>8</v>
      </c>
      <c r="H1726">
        <v>7809</v>
      </c>
      <c r="I1726">
        <v>-624720</v>
      </c>
      <c r="K1726">
        <v>7809</v>
      </c>
      <c r="L1726">
        <v>-624720</v>
      </c>
      <c r="M1726" t="s">
        <v>850</v>
      </c>
      <c r="N1726" t="s">
        <v>849</v>
      </c>
    </row>
    <row r="1727" spans="1:14" x14ac:dyDescent="0.25">
      <c r="A1727" s="18">
        <v>46104</v>
      </c>
      <c r="B1727" t="s">
        <v>289</v>
      </c>
      <c r="C1727" t="s">
        <v>834</v>
      </c>
      <c r="D1727" t="s">
        <v>835</v>
      </c>
      <c r="E1727" t="s">
        <v>836</v>
      </c>
      <c r="F1727" t="s">
        <v>21</v>
      </c>
      <c r="G1727">
        <v>4000</v>
      </c>
      <c r="H1727">
        <v>13.01</v>
      </c>
      <c r="I1727">
        <v>-52040</v>
      </c>
      <c r="K1727">
        <v>13.01</v>
      </c>
      <c r="L1727">
        <v>-52040</v>
      </c>
      <c r="M1727" t="s">
        <v>835</v>
      </c>
      <c r="N1727" t="s">
        <v>834</v>
      </c>
    </row>
    <row r="1728" spans="1:14" x14ac:dyDescent="0.25">
      <c r="A1728" s="18">
        <v>46104</v>
      </c>
      <c r="B1728" t="s">
        <v>289</v>
      </c>
      <c r="C1728" t="s">
        <v>339</v>
      </c>
      <c r="D1728" t="s">
        <v>340</v>
      </c>
      <c r="E1728" t="s">
        <v>341</v>
      </c>
      <c r="F1728" t="s">
        <v>21</v>
      </c>
      <c r="G1728">
        <v>2050</v>
      </c>
      <c r="H1728">
        <v>180.9</v>
      </c>
      <c r="I1728">
        <v>-370845</v>
      </c>
      <c r="K1728">
        <v>180.9</v>
      </c>
      <c r="L1728">
        <v>-370845</v>
      </c>
      <c r="M1728" t="s">
        <v>340</v>
      </c>
      <c r="N1728" t="s">
        <v>339</v>
      </c>
    </row>
    <row r="1729" spans="1:14" x14ac:dyDescent="0.25">
      <c r="A1729" s="18">
        <v>46104</v>
      </c>
      <c r="B1729" t="s">
        <v>289</v>
      </c>
      <c r="C1729" t="s">
        <v>294</v>
      </c>
      <c r="D1729" t="s">
        <v>80</v>
      </c>
      <c r="E1729" t="s">
        <v>505</v>
      </c>
      <c r="F1729" t="s">
        <v>82</v>
      </c>
      <c r="G1729">
        <v>4300</v>
      </c>
      <c r="H1729">
        <v>64.916200000000003</v>
      </c>
      <c r="I1729">
        <v>-279139.66000000003</v>
      </c>
      <c r="K1729">
        <v>64.916200000000003</v>
      </c>
      <c r="L1729">
        <v>-279139.66000000003</v>
      </c>
      <c r="M1729" t="s">
        <v>80</v>
      </c>
      <c r="N1729" t="s">
        <v>294</v>
      </c>
    </row>
    <row r="1730" spans="1:14" x14ac:dyDescent="0.25">
      <c r="A1730" s="18">
        <v>46104</v>
      </c>
      <c r="B1730" t="s">
        <v>289</v>
      </c>
      <c r="C1730" t="s">
        <v>342</v>
      </c>
      <c r="D1730" t="s">
        <v>343</v>
      </c>
      <c r="E1730" t="s">
        <v>282</v>
      </c>
      <c r="F1730" t="s">
        <v>21</v>
      </c>
      <c r="G1730">
        <v>5150</v>
      </c>
      <c r="H1730">
        <v>70.903599999999997</v>
      </c>
      <c r="I1730">
        <v>-365153.54</v>
      </c>
      <c r="K1730">
        <v>70.903599999999997</v>
      </c>
      <c r="L1730">
        <v>-365153.54</v>
      </c>
      <c r="M1730" t="s">
        <v>343</v>
      </c>
      <c r="N1730" t="s">
        <v>342</v>
      </c>
    </row>
    <row r="1731" spans="1:14" x14ac:dyDescent="0.25">
      <c r="A1731" s="18">
        <v>46104</v>
      </c>
      <c r="B1731" t="s">
        <v>289</v>
      </c>
      <c r="C1731" t="s">
        <v>318</v>
      </c>
      <c r="D1731" t="s">
        <v>22</v>
      </c>
      <c r="E1731" t="s">
        <v>23</v>
      </c>
      <c r="F1731" t="s">
        <v>21</v>
      </c>
      <c r="G1731">
        <v>6000</v>
      </c>
      <c r="H1731">
        <v>21.13</v>
      </c>
      <c r="I1731">
        <v>-126780</v>
      </c>
      <c r="K1731">
        <v>21.13</v>
      </c>
      <c r="L1731">
        <v>-126780</v>
      </c>
      <c r="M1731" t="s">
        <v>22</v>
      </c>
      <c r="N1731" t="s">
        <v>318</v>
      </c>
    </row>
    <row r="1732" spans="1:14" x14ac:dyDescent="0.25">
      <c r="A1732" s="18">
        <v>46104</v>
      </c>
      <c r="B1732" t="s">
        <v>289</v>
      </c>
      <c r="C1732" t="s">
        <v>744</v>
      </c>
      <c r="D1732" t="s">
        <v>56</v>
      </c>
      <c r="E1732" t="s">
        <v>745</v>
      </c>
      <c r="F1732" t="s">
        <v>21</v>
      </c>
      <c r="G1732">
        <v>11325</v>
      </c>
      <c r="H1732">
        <v>27.043700000000001</v>
      </c>
      <c r="I1732">
        <v>-306269.90250000003</v>
      </c>
      <c r="K1732">
        <v>27.043700000000001</v>
      </c>
      <c r="L1732">
        <v>-306269.90250000003</v>
      </c>
      <c r="M1732" t="s">
        <v>56</v>
      </c>
      <c r="N1732" t="s">
        <v>744</v>
      </c>
    </row>
    <row r="1733" spans="1:14" x14ac:dyDescent="0.25">
      <c r="A1733" s="18">
        <v>46104</v>
      </c>
      <c r="B1733" t="s">
        <v>319</v>
      </c>
      <c r="C1733" t="s">
        <v>619</v>
      </c>
      <c r="D1733" t="s">
        <v>620</v>
      </c>
      <c r="E1733" t="s">
        <v>621</v>
      </c>
      <c r="F1733" t="s">
        <v>21</v>
      </c>
      <c r="G1733">
        <v>-775</v>
      </c>
      <c r="H1733">
        <v>196.31440000000001</v>
      </c>
      <c r="I1733">
        <v>152143.66</v>
      </c>
      <c r="K1733">
        <v>196.31440000000001</v>
      </c>
      <c r="L1733">
        <v>152143.66</v>
      </c>
      <c r="M1733" t="s">
        <v>620</v>
      </c>
      <c r="N1733" t="s">
        <v>619</v>
      </c>
    </row>
    <row r="1734" spans="1:14" x14ac:dyDescent="0.25">
      <c r="A1734" s="18">
        <v>46104</v>
      </c>
      <c r="B1734" t="s">
        <v>319</v>
      </c>
      <c r="C1734" t="s">
        <v>791</v>
      </c>
      <c r="D1734" t="s">
        <v>85</v>
      </c>
      <c r="E1734" t="s">
        <v>86</v>
      </c>
      <c r="F1734" t="s">
        <v>82</v>
      </c>
      <c r="G1734">
        <v>-750</v>
      </c>
      <c r="H1734">
        <v>246.5857</v>
      </c>
      <c r="I1734">
        <v>184939.27499999999</v>
      </c>
      <c r="K1734">
        <v>246.5857</v>
      </c>
      <c r="L1734">
        <v>184939.27499999999</v>
      </c>
      <c r="M1734" t="s">
        <v>85</v>
      </c>
      <c r="N1734" t="s">
        <v>791</v>
      </c>
    </row>
    <row r="1735" spans="1:14" x14ac:dyDescent="0.25">
      <c r="A1735" s="18">
        <v>46104</v>
      </c>
      <c r="B1735" t="s">
        <v>289</v>
      </c>
      <c r="C1735" t="s">
        <v>311</v>
      </c>
      <c r="D1735" t="s">
        <v>312</v>
      </c>
      <c r="E1735" t="s">
        <v>313</v>
      </c>
      <c r="F1735" t="s">
        <v>21</v>
      </c>
      <c r="G1735">
        <v>1059</v>
      </c>
      <c r="H1735">
        <v>292.79700000000003</v>
      </c>
      <c r="I1735">
        <v>-310072.02300000004</v>
      </c>
      <c r="K1735">
        <v>292.79700000000003</v>
      </c>
      <c r="L1735">
        <v>-310072.02300000004</v>
      </c>
      <c r="M1735" t="s">
        <v>312</v>
      </c>
      <c r="N1735" t="s">
        <v>311</v>
      </c>
    </row>
    <row r="1736" spans="1:14" x14ac:dyDescent="0.25">
      <c r="A1736" s="18">
        <v>46105</v>
      </c>
      <c r="B1736" t="s">
        <v>319</v>
      </c>
      <c r="C1736" t="s">
        <v>788</v>
      </c>
      <c r="D1736" t="s">
        <v>789</v>
      </c>
      <c r="E1736" t="s">
        <v>790</v>
      </c>
      <c r="F1736" t="s">
        <v>36</v>
      </c>
      <c r="G1736">
        <v>-9</v>
      </c>
      <c r="H1736">
        <v>87.66</v>
      </c>
      <c r="I1736">
        <v>788939.99999999988</v>
      </c>
      <c r="K1736">
        <v>87.659999999999982</v>
      </c>
      <c r="L1736">
        <v>788939.99999999988</v>
      </c>
      <c r="M1736" t="s">
        <v>789</v>
      </c>
      <c r="N1736" t="s">
        <v>788</v>
      </c>
    </row>
    <row r="1737" spans="1:14" x14ac:dyDescent="0.25">
      <c r="A1737" s="18">
        <v>46105</v>
      </c>
      <c r="B1737" t="s">
        <v>319</v>
      </c>
      <c r="C1737" t="s">
        <v>854</v>
      </c>
      <c r="D1737" t="s">
        <v>855</v>
      </c>
      <c r="E1737" t="s">
        <v>856</v>
      </c>
      <c r="F1737" t="s">
        <v>49</v>
      </c>
      <c r="G1737">
        <v>-5</v>
      </c>
      <c r="H1737">
        <v>110.5625</v>
      </c>
      <c r="I1737">
        <v>552812.5</v>
      </c>
      <c r="K1737">
        <v>110.5625</v>
      </c>
      <c r="L1737">
        <v>552812.5</v>
      </c>
      <c r="M1737" t="s">
        <v>855</v>
      </c>
      <c r="N1737" t="s">
        <v>854</v>
      </c>
    </row>
    <row r="1738" spans="1:14" x14ac:dyDescent="0.25">
      <c r="A1738" s="18">
        <v>46106</v>
      </c>
      <c r="B1738" t="s">
        <v>289</v>
      </c>
      <c r="C1738" t="s">
        <v>852</v>
      </c>
      <c r="D1738" t="s">
        <v>54</v>
      </c>
      <c r="E1738" t="s">
        <v>55</v>
      </c>
      <c r="F1738" t="s">
        <v>21</v>
      </c>
      <c r="G1738">
        <v>28000</v>
      </c>
      <c r="H1738">
        <v>3.5718000000000001</v>
      </c>
      <c r="I1738">
        <v>-100010.40000000001</v>
      </c>
      <c r="K1738">
        <v>3.5718000000000005</v>
      </c>
      <c r="L1738">
        <v>-100010.40000000001</v>
      </c>
      <c r="M1738" t="s">
        <v>54</v>
      </c>
      <c r="N1738" t="s">
        <v>852</v>
      </c>
    </row>
    <row r="1739" spans="1:14" x14ac:dyDescent="0.25">
      <c r="A1739" s="18">
        <v>46106</v>
      </c>
      <c r="B1739" t="s">
        <v>289</v>
      </c>
      <c r="C1739" t="s">
        <v>843</v>
      </c>
      <c r="D1739" t="s">
        <v>844</v>
      </c>
      <c r="E1739" t="s">
        <v>845</v>
      </c>
      <c r="F1739" t="s">
        <v>21</v>
      </c>
      <c r="G1739">
        <v>11</v>
      </c>
      <c r="H1739">
        <v>5609</v>
      </c>
      <c r="I1739">
        <v>-616990</v>
      </c>
      <c r="K1739">
        <v>5609</v>
      </c>
      <c r="L1739">
        <v>-616990</v>
      </c>
      <c r="M1739" t="s">
        <v>844</v>
      </c>
      <c r="N1739" t="s">
        <v>843</v>
      </c>
    </row>
    <row r="1740" spans="1:14" x14ac:dyDescent="0.25">
      <c r="A1740" s="18">
        <v>46106</v>
      </c>
      <c r="B1740" t="s">
        <v>289</v>
      </c>
      <c r="C1740" t="s">
        <v>784</v>
      </c>
      <c r="D1740" t="s">
        <v>58</v>
      </c>
      <c r="E1740" t="s">
        <v>59</v>
      </c>
      <c r="F1740" t="s">
        <v>21</v>
      </c>
      <c r="G1740">
        <v>5880</v>
      </c>
      <c r="H1740">
        <v>34.393300000000004</v>
      </c>
      <c r="I1740">
        <v>-202232.60400000002</v>
      </c>
      <c r="K1740">
        <v>34.393300000000004</v>
      </c>
      <c r="L1740">
        <v>-202232.60400000002</v>
      </c>
      <c r="M1740" t="s">
        <v>58</v>
      </c>
      <c r="N1740" t="s">
        <v>784</v>
      </c>
    </row>
    <row r="1741" spans="1:14" x14ac:dyDescent="0.25">
      <c r="A1741" s="18">
        <v>46106</v>
      </c>
      <c r="B1741" t="s">
        <v>289</v>
      </c>
      <c r="C1741" t="s">
        <v>323</v>
      </c>
      <c r="D1741" t="s">
        <v>39</v>
      </c>
      <c r="E1741" t="s">
        <v>40</v>
      </c>
      <c r="F1741" t="s">
        <v>36</v>
      </c>
      <c r="G1741">
        <v>2720</v>
      </c>
      <c r="H1741">
        <v>33.159999999999997</v>
      </c>
      <c r="I1741">
        <v>-90195.199999999997</v>
      </c>
      <c r="K1741">
        <v>33.159999999999997</v>
      </c>
      <c r="L1741">
        <v>-90195.199999999997</v>
      </c>
      <c r="M1741" t="s">
        <v>39</v>
      </c>
      <c r="N1741" t="s">
        <v>323</v>
      </c>
    </row>
    <row r="1742" spans="1:14" x14ac:dyDescent="0.25">
      <c r="A1742" s="18">
        <v>46106</v>
      </c>
      <c r="B1742" t="s">
        <v>289</v>
      </c>
      <c r="C1742" t="s">
        <v>783</v>
      </c>
      <c r="D1742" t="s">
        <v>78</v>
      </c>
      <c r="E1742" t="s">
        <v>79</v>
      </c>
      <c r="F1742" t="s">
        <v>21</v>
      </c>
      <c r="G1742">
        <v>3320</v>
      </c>
      <c r="H1742">
        <v>30.3</v>
      </c>
      <c r="I1742">
        <v>-100596</v>
      </c>
      <c r="K1742">
        <v>30.3</v>
      </c>
      <c r="L1742">
        <v>-100596</v>
      </c>
      <c r="M1742" t="s">
        <v>78</v>
      </c>
      <c r="N1742" t="s">
        <v>783</v>
      </c>
    </row>
    <row r="1743" spans="1:14" x14ac:dyDescent="0.25">
      <c r="A1743" s="18">
        <v>46106</v>
      </c>
      <c r="B1743" t="s">
        <v>289</v>
      </c>
      <c r="C1743" t="s">
        <v>290</v>
      </c>
      <c r="D1743" t="s">
        <v>45</v>
      </c>
      <c r="E1743" t="s">
        <v>46</v>
      </c>
      <c r="F1743" t="s">
        <v>21</v>
      </c>
      <c r="G1743">
        <v>3420</v>
      </c>
      <c r="H1743">
        <v>44.5351</v>
      </c>
      <c r="I1743">
        <v>-152310.04199999999</v>
      </c>
      <c r="K1743">
        <v>44.535099999999993</v>
      </c>
      <c r="L1743">
        <v>-152310.04199999999</v>
      </c>
      <c r="M1743" t="s">
        <v>45</v>
      </c>
      <c r="N1743" t="s">
        <v>290</v>
      </c>
    </row>
    <row r="1744" spans="1:14" x14ac:dyDescent="0.25">
      <c r="A1744" s="18">
        <v>46106</v>
      </c>
      <c r="B1744" t="s">
        <v>319</v>
      </c>
      <c r="C1744" t="s">
        <v>354</v>
      </c>
      <c r="D1744" t="s">
        <v>355</v>
      </c>
      <c r="E1744" t="s">
        <v>356</v>
      </c>
      <c r="F1744" t="s">
        <v>21</v>
      </c>
      <c r="G1744">
        <v>-1185</v>
      </c>
      <c r="H1744">
        <v>172.18</v>
      </c>
      <c r="I1744">
        <v>204033.30000000002</v>
      </c>
      <c r="K1744">
        <v>172.18</v>
      </c>
      <c r="L1744">
        <v>204033.30000000002</v>
      </c>
      <c r="M1744" t="s">
        <v>355</v>
      </c>
      <c r="N1744" t="s">
        <v>354</v>
      </c>
    </row>
    <row r="1745" spans="1:14" x14ac:dyDescent="0.25">
      <c r="A1745" s="18">
        <v>46106</v>
      </c>
      <c r="B1745" t="s">
        <v>289</v>
      </c>
      <c r="C1745" t="s">
        <v>771</v>
      </c>
      <c r="D1745" t="s">
        <v>89</v>
      </c>
      <c r="E1745" t="s">
        <v>90</v>
      </c>
      <c r="F1745" t="s">
        <v>21</v>
      </c>
      <c r="G1745">
        <v>2002</v>
      </c>
      <c r="H1745">
        <v>103.1923</v>
      </c>
      <c r="I1745">
        <v>-206590.9846</v>
      </c>
      <c r="K1745">
        <v>103.1923</v>
      </c>
      <c r="L1745">
        <v>-206590.9846</v>
      </c>
      <c r="M1745" t="s">
        <v>89</v>
      </c>
      <c r="N1745" t="s">
        <v>771</v>
      </c>
    </row>
    <row r="1746" spans="1:14" x14ac:dyDescent="0.25">
      <c r="A1746" s="18">
        <v>46106</v>
      </c>
      <c r="B1746" t="s">
        <v>319</v>
      </c>
      <c r="C1746" t="s">
        <v>354</v>
      </c>
      <c r="D1746" t="s">
        <v>355</v>
      </c>
      <c r="E1746" t="s">
        <v>356</v>
      </c>
      <c r="F1746" t="s">
        <v>21</v>
      </c>
      <c r="G1746">
        <v>-1215</v>
      </c>
      <c r="H1746">
        <v>171.28</v>
      </c>
      <c r="I1746">
        <v>208105.2</v>
      </c>
      <c r="K1746">
        <v>171.28</v>
      </c>
      <c r="L1746">
        <v>208105.2</v>
      </c>
      <c r="M1746" t="s">
        <v>355</v>
      </c>
      <c r="N1746" t="s">
        <v>354</v>
      </c>
    </row>
    <row r="1747" spans="1:14" x14ac:dyDescent="0.25">
      <c r="A1747" s="18">
        <v>46106</v>
      </c>
      <c r="B1747" t="s">
        <v>319</v>
      </c>
      <c r="C1747" t="s">
        <v>799</v>
      </c>
      <c r="D1747" t="s">
        <v>800</v>
      </c>
      <c r="E1747" t="s">
        <v>801</v>
      </c>
      <c r="F1747" t="s">
        <v>21</v>
      </c>
      <c r="G1747">
        <v>-4</v>
      </c>
      <c r="H1747">
        <v>125.94</v>
      </c>
      <c r="I1747">
        <v>503760</v>
      </c>
      <c r="K1747">
        <v>125.94</v>
      </c>
      <c r="L1747">
        <v>503760</v>
      </c>
      <c r="M1747" t="s">
        <v>800</v>
      </c>
      <c r="N1747" t="s">
        <v>799</v>
      </c>
    </row>
    <row r="1748" spans="1:14" x14ac:dyDescent="0.25">
      <c r="A1748" s="18">
        <v>46106</v>
      </c>
      <c r="B1748" t="s">
        <v>289</v>
      </c>
      <c r="C1748" t="s">
        <v>853</v>
      </c>
      <c r="D1748" t="s">
        <v>47</v>
      </c>
      <c r="E1748" t="s">
        <v>48</v>
      </c>
      <c r="F1748" t="s">
        <v>49</v>
      </c>
      <c r="G1748">
        <v>1100</v>
      </c>
      <c r="H1748">
        <v>106.0645</v>
      </c>
      <c r="I1748">
        <v>-116670.95</v>
      </c>
      <c r="K1748">
        <v>106.0645</v>
      </c>
      <c r="L1748">
        <v>-116670.95</v>
      </c>
      <c r="M1748" t="s">
        <v>47</v>
      </c>
      <c r="N1748" t="s">
        <v>853</v>
      </c>
    </row>
    <row r="1749" spans="1:14" x14ac:dyDescent="0.25">
      <c r="A1749" s="18">
        <v>46107</v>
      </c>
      <c r="B1749" t="s">
        <v>289</v>
      </c>
      <c r="C1749" t="s">
        <v>484</v>
      </c>
      <c r="D1749" t="s">
        <v>30</v>
      </c>
      <c r="E1749" t="s">
        <v>31</v>
      </c>
      <c r="F1749" t="s">
        <v>21</v>
      </c>
      <c r="G1749">
        <v>680</v>
      </c>
      <c r="H1749">
        <v>145.03380000000001</v>
      </c>
      <c r="I1749">
        <v>-98622.984000000011</v>
      </c>
      <c r="K1749">
        <v>145.03380000000001</v>
      </c>
      <c r="L1749">
        <v>-98622.984000000011</v>
      </c>
      <c r="M1749" t="s">
        <v>30</v>
      </c>
      <c r="N1749" t="s">
        <v>484</v>
      </c>
    </row>
    <row r="1750" spans="1:14" x14ac:dyDescent="0.25">
      <c r="A1750" s="18">
        <v>46107</v>
      </c>
      <c r="B1750" t="s">
        <v>289</v>
      </c>
      <c r="C1750" t="s">
        <v>484</v>
      </c>
      <c r="D1750" t="s">
        <v>30</v>
      </c>
      <c r="E1750" t="s">
        <v>31</v>
      </c>
      <c r="F1750" t="s">
        <v>21</v>
      </c>
      <c r="G1750">
        <v>680</v>
      </c>
      <c r="H1750">
        <v>146.85990000000001</v>
      </c>
      <c r="I1750">
        <v>-99864.732000000004</v>
      </c>
      <c r="K1750">
        <v>146.85990000000001</v>
      </c>
      <c r="L1750">
        <v>-99864.732000000004</v>
      </c>
      <c r="M1750" t="s">
        <v>30</v>
      </c>
      <c r="N1750" t="s">
        <v>484</v>
      </c>
    </row>
    <row r="1751" spans="1:14" x14ac:dyDescent="0.25">
      <c r="A1751" s="18">
        <v>46107</v>
      </c>
      <c r="B1751" t="s">
        <v>289</v>
      </c>
      <c r="C1751" t="s">
        <v>857</v>
      </c>
      <c r="D1751" t="s">
        <v>858</v>
      </c>
      <c r="E1751" t="s">
        <v>859</v>
      </c>
      <c r="F1751" t="s">
        <v>21</v>
      </c>
      <c r="G1751">
        <v>2752</v>
      </c>
      <c r="H1751">
        <v>53.141399999999997</v>
      </c>
      <c r="I1751">
        <v>-146245.13279999999</v>
      </c>
      <c r="K1751">
        <v>53.141399999999997</v>
      </c>
      <c r="L1751">
        <v>-146245.13279999999</v>
      </c>
      <c r="M1751" t="s">
        <v>858</v>
      </c>
      <c r="N1751" t="s">
        <v>857</v>
      </c>
    </row>
    <row r="1752" spans="1:14" x14ac:dyDescent="0.25">
      <c r="A1752" s="18">
        <v>46107</v>
      </c>
      <c r="B1752" t="s">
        <v>319</v>
      </c>
      <c r="C1752" t="s">
        <v>799</v>
      </c>
      <c r="D1752" t="s">
        <v>800</v>
      </c>
      <c r="E1752" t="s">
        <v>801</v>
      </c>
      <c r="F1752" t="s">
        <v>21</v>
      </c>
      <c r="G1752">
        <v>-8</v>
      </c>
      <c r="H1752">
        <v>125</v>
      </c>
      <c r="I1752">
        <v>1000000</v>
      </c>
      <c r="K1752">
        <v>125</v>
      </c>
      <c r="L1752">
        <v>1000000</v>
      </c>
      <c r="M1752" t="s">
        <v>800</v>
      </c>
      <c r="N1752" t="s">
        <v>799</v>
      </c>
    </row>
    <row r="1753" spans="1:14" x14ac:dyDescent="0.25">
      <c r="A1753" s="18">
        <v>46107</v>
      </c>
      <c r="B1753" t="s">
        <v>289</v>
      </c>
      <c r="C1753" t="s">
        <v>854</v>
      </c>
      <c r="D1753" t="s">
        <v>855</v>
      </c>
      <c r="E1753" t="s">
        <v>856</v>
      </c>
      <c r="F1753" t="s">
        <v>49</v>
      </c>
      <c r="G1753">
        <v>5</v>
      </c>
      <c r="H1753">
        <v>110.484375</v>
      </c>
      <c r="I1753">
        <v>-552421.875</v>
      </c>
      <c r="K1753">
        <v>110.484375</v>
      </c>
      <c r="L1753">
        <v>-552421.875</v>
      </c>
      <c r="M1753" t="s">
        <v>855</v>
      </c>
      <c r="N1753" t="s">
        <v>854</v>
      </c>
    </row>
    <row r="1754" spans="1:14" x14ac:dyDescent="0.25">
      <c r="A1754" s="18">
        <v>46108</v>
      </c>
      <c r="B1754" t="s">
        <v>319</v>
      </c>
      <c r="C1754" t="s">
        <v>328</v>
      </c>
      <c r="D1754" t="s">
        <v>329</v>
      </c>
      <c r="E1754" t="s">
        <v>330</v>
      </c>
      <c r="F1754" t="s">
        <v>21</v>
      </c>
      <c r="G1754">
        <v>-76</v>
      </c>
      <c r="H1754">
        <v>1390.8190999999999</v>
      </c>
      <c r="I1754">
        <v>105702.25159999999</v>
      </c>
      <c r="K1754">
        <v>1390.8190999999999</v>
      </c>
      <c r="L1754">
        <v>105702.25159999999</v>
      </c>
      <c r="M1754" t="s">
        <v>329</v>
      </c>
      <c r="N1754" t="s">
        <v>328</v>
      </c>
    </row>
    <row r="1755" spans="1:14" x14ac:dyDescent="0.25">
      <c r="A1755" s="18">
        <v>46108</v>
      </c>
      <c r="B1755" t="s">
        <v>289</v>
      </c>
      <c r="C1755" t="s">
        <v>860</v>
      </c>
      <c r="D1755" t="s">
        <v>43</v>
      </c>
      <c r="E1755" t="s">
        <v>795</v>
      </c>
      <c r="F1755" t="s">
        <v>36</v>
      </c>
      <c r="G1755">
        <v>1400</v>
      </c>
      <c r="H1755">
        <v>34.341099999999997</v>
      </c>
      <c r="I1755">
        <v>-48077.539999999994</v>
      </c>
      <c r="K1755">
        <v>34.341099999999997</v>
      </c>
      <c r="L1755">
        <v>-48077.539999999994</v>
      </c>
      <c r="M1755" t="s">
        <v>43</v>
      </c>
      <c r="N1755" t="s">
        <v>860</v>
      </c>
    </row>
    <row r="1756" spans="1:14" x14ac:dyDescent="0.25">
      <c r="A1756" s="18">
        <v>46108</v>
      </c>
      <c r="B1756" t="s">
        <v>289</v>
      </c>
      <c r="C1756" t="s">
        <v>783</v>
      </c>
      <c r="D1756" t="s">
        <v>78</v>
      </c>
      <c r="E1756" t="s">
        <v>79</v>
      </c>
      <c r="F1756" t="s">
        <v>21</v>
      </c>
      <c r="G1756">
        <v>1780</v>
      </c>
      <c r="H1756">
        <v>29.082999999999998</v>
      </c>
      <c r="I1756">
        <v>-51767.74</v>
      </c>
      <c r="K1756">
        <v>29.082999999999998</v>
      </c>
      <c r="L1756">
        <v>-51767.74</v>
      </c>
      <c r="M1756" t="s">
        <v>78</v>
      </c>
      <c r="N1756" t="s">
        <v>783</v>
      </c>
    </row>
    <row r="1757" spans="1:14" x14ac:dyDescent="0.25">
      <c r="A1757" s="18">
        <v>46108</v>
      </c>
      <c r="B1757" t="s">
        <v>289</v>
      </c>
      <c r="C1757" t="s">
        <v>861</v>
      </c>
      <c r="D1757" t="s">
        <v>862</v>
      </c>
      <c r="E1757" t="s">
        <v>278</v>
      </c>
      <c r="F1757" t="s">
        <v>21</v>
      </c>
      <c r="G1757">
        <v>1418</v>
      </c>
      <c r="H1757">
        <v>70.400000000000006</v>
      </c>
      <c r="I1757" t="e">
        <v>#VALUE!</v>
      </c>
      <c r="K1757" t="e">
        <v>#VALUE!</v>
      </c>
      <c r="L1757" t="e">
        <v>#VALUE!</v>
      </c>
      <c r="M1757" t="s">
        <v>862</v>
      </c>
      <c r="N1757" t="s">
        <v>861</v>
      </c>
    </row>
    <row r="1758" spans="1:14" x14ac:dyDescent="0.25">
      <c r="A1758" s="18">
        <v>46108</v>
      </c>
      <c r="B1758" t="s">
        <v>319</v>
      </c>
      <c r="C1758" t="s">
        <v>758</v>
      </c>
      <c r="D1758" t="s">
        <v>759</v>
      </c>
      <c r="E1758" t="s">
        <v>760</v>
      </c>
      <c r="F1758" t="s">
        <v>21</v>
      </c>
      <c r="G1758">
        <v>-3406</v>
      </c>
      <c r="H1758">
        <v>38.868200000000002</v>
      </c>
      <c r="I1758">
        <v>132385.08920000002</v>
      </c>
      <c r="K1758">
        <v>38.868200000000002</v>
      </c>
      <c r="L1758">
        <v>132385.08920000002</v>
      </c>
      <c r="M1758" t="s">
        <v>759</v>
      </c>
      <c r="N1758" t="s">
        <v>758</v>
      </c>
    </row>
    <row r="1759" spans="1:14" x14ac:dyDescent="0.25">
      <c r="A1759" s="18">
        <v>46108</v>
      </c>
      <c r="B1759" t="s">
        <v>289</v>
      </c>
      <c r="C1759" t="s">
        <v>582</v>
      </c>
      <c r="D1759" t="s">
        <v>83</v>
      </c>
      <c r="E1759" t="s">
        <v>583</v>
      </c>
      <c r="F1759" t="s">
        <v>82</v>
      </c>
      <c r="G1759">
        <v>882</v>
      </c>
      <c r="H1759">
        <v>137.75309999999999</v>
      </c>
      <c r="I1759">
        <v>-121498.23419999999</v>
      </c>
      <c r="K1759">
        <v>137.75309999999999</v>
      </c>
      <c r="L1759">
        <v>-121498.23419999999</v>
      </c>
      <c r="M1759" t="s">
        <v>83</v>
      </c>
      <c r="N1759" t="s">
        <v>582</v>
      </c>
    </row>
    <row r="1760" spans="1:14" x14ac:dyDescent="0.25">
      <c r="A1760" s="18">
        <v>46108</v>
      </c>
      <c r="B1760" t="s">
        <v>289</v>
      </c>
      <c r="C1760" t="s">
        <v>435</v>
      </c>
      <c r="D1760" t="s">
        <v>99</v>
      </c>
      <c r="E1760" t="s">
        <v>100</v>
      </c>
      <c r="F1760" t="s">
        <v>21</v>
      </c>
      <c r="G1760">
        <v>39050</v>
      </c>
      <c r="H1760">
        <v>9.3826999999999998</v>
      </c>
      <c r="I1760" t="e">
        <v>#VALUE!</v>
      </c>
      <c r="K1760" t="e">
        <v>#VALUE!</v>
      </c>
      <c r="L1760" t="e">
        <v>#VALUE!</v>
      </c>
      <c r="M1760" t="s">
        <v>99</v>
      </c>
      <c r="N1760" t="s">
        <v>435</v>
      </c>
    </row>
    <row r="1761" spans="1:14" x14ac:dyDescent="0.25">
      <c r="A1761" s="18">
        <v>46108</v>
      </c>
      <c r="B1761" t="s">
        <v>319</v>
      </c>
      <c r="C1761" t="s">
        <v>311</v>
      </c>
      <c r="D1761" t="s">
        <v>312</v>
      </c>
      <c r="E1761" t="s">
        <v>313</v>
      </c>
      <c r="F1761" t="s">
        <v>21</v>
      </c>
      <c r="G1761">
        <v>-1314</v>
      </c>
      <c r="H1761">
        <v>278.33229999999998</v>
      </c>
      <c r="I1761">
        <v>365728.64219999994</v>
      </c>
      <c r="K1761">
        <v>278.33229999999998</v>
      </c>
      <c r="L1761">
        <v>365728.64219999994</v>
      </c>
      <c r="M1761" t="s">
        <v>312</v>
      </c>
      <c r="N1761" t="s">
        <v>311</v>
      </c>
    </row>
    <row r="1762" spans="1:14" x14ac:dyDescent="0.25">
      <c r="A1762" s="18">
        <v>46108</v>
      </c>
      <c r="B1762" t="s">
        <v>319</v>
      </c>
      <c r="C1762" t="s">
        <v>702</v>
      </c>
      <c r="D1762" t="s">
        <v>703</v>
      </c>
      <c r="E1762" t="s">
        <v>704</v>
      </c>
      <c r="F1762" t="s">
        <v>21</v>
      </c>
      <c r="G1762">
        <v>-1386</v>
      </c>
      <c r="H1762">
        <v>161.41900000000001</v>
      </c>
      <c r="I1762">
        <v>223726.73400000003</v>
      </c>
      <c r="K1762">
        <v>161.41900000000001</v>
      </c>
      <c r="L1762">
        <v>223726.73400000003</v>
      </c>
      <c r="M1762" t="s">
        <v>703</v>
      </c>
      <c r="N1762" t="s">
        <v>702</v>
      </c>
    </row>
    <row r="1763" spans="1:14" x14ac:dyDescent="0.25">
      <c r="A1763" s="18">
        <v>46108</v>
      </c>
      <c r="B1763" t="s">
        <v>289</v>
      </c>
      <c r="C1763" t="s">
        <v>350</v>
      </c>
      <c r="D1763" t="s">
        <v>351</v>
      </c>
      <c r="E1763" t="s">
        <v>352</v>
      </c>
      <c r="F1763" t="s">
        <v>21</v>
      </c>
      <c r="G1763">
        <v>4000</v>
      </c>
      <c r="H1763">
        <v>54.133299999999998</v>
      </c>
      <c r="I1763">
        <v>-216533.19999999998</v>
      </c>
      <c r="K1763">
        <v>54.133299999999998</v>
      </c>
      <c r="L1763">
        <v>-216533.19999999998</v>
      </c>
      <c r="M1763" t="s">
        <v>351</v>
      </c>
      <c r="N1763" t="s">
        <v>350</v>
      </c>
    </row>
    <row r="1764" spans="1:14" x14ac:dyDescent="0.25">
      <c r="A1764" s="18">
        <v>46108</v>
      </c>
      <c r="B1764" t="s">
        <v>289</v>
      </c>
      <c r="C1764" t="s">
        <v>746</v>
      </c>
      <c r="D1764" t="s">
        <v>52</v>
      </c>
      <c r="E1764" t="s">
        <v>53</v>
      </c>
      <c r="F1764" t="s">
        <v>21</v>
      </c>
      <c r="G1764">
        <v>1600</v>
      </c>
      <c r="H1764">
        <v>57.2042</v>
      </c>
      <c r="I1764">
        <v>-91526.720000000001</v>
      </c>
      <c r="K1764">
        <v>57.2042</v>
      </c>
      <c r="L1764">
        <v>-91526.720000000001</v>
      </c>
      <c r="M1764" t="s">
        <v>52</v>
      </c>
      <c r="N1764" t="s">
        <v>746</v>
      </c>
    </row>
    <row r="1765" spans="1:14" x14ac:dyDescent="0.25">
      <c r="A1765" s="18">
        <v>46108</v>
      </c>
      <c r="B1765" t="s">
        <v>319</v>
      </c>
      <c r="C1765" t="s">
        <v>775</v>
      </c>
      <c r="D1765" t="s">
        <v>126</v>
      </c>
      <c r="E1765" t="s">
        <v>776</v>
      </c>
      <c r="F1765" t="s">
        <v>21</v>
      </c>
      <c r="G1765">
        <v>-7000</v>
      </c>
      <c r="H1765">
        <v>118.03</v>
      </c>
      <c r="I1765">
        <v>826210</v>
      </c>
      <c r="K1765">
        <v>118.03</v>
      </c>
      <c r="L1765">
        <v>826210</v>
      </c>
      <c r="M1765" t="s">
        <v>126</v>
      </c>
      <c r="N1765" t="s">
        <v>775</v>
      </c>
    </row>
    <row r="1766" spans="1:14" x14ac:dyDescent="0.25">
      <c r="A1766" s="18">
        <v>46108</v>
      </c>
      <c r="B1766" t="s">
        <v>319</v>
      </c>
      <c r="C1766" t="s">
        <v>452</v>
      </c>
      <c r="D1766" t="s">
        <v>453</v>
      </c>
      <c r="E1766" t="s">
        <v>454</v>
      </c>
      <c r="F1766" t="s">
        <v>162</v>
      </c>
      <c r="G1766">
        <v>-12582</v>
      </c>
      <c r="H1766">
        <v>160.01939999999999</v>
      </c>
      <c r="I1766">
        <v>2013364.0907999999</v>
      </c>
      <c r="K1766">
        <v>160.01939999999999</v>
      </c>
      <c r="L1766">
        <v>2013364.0907999999</v>
      </c>
      <c r="M1766" t="s">
        <v>453</v>
      </c>
      <c r="N1766" t="s">
        <v>452</v>
      </c>
    </row>
    <row r="1767" spans="1:14" x14ac:dyDescent="0.25">
      <c r="A1767" s="18">
        <v>46108</v>
      </c>
      <c r="B1767" t="s">
        <v>319</v>
      </c>
      <c r="C1767" t="s">
        <v>802</v>
      </c>
      <c r="D1767" t="s">
        <v>863</v>
      </c>
      <c r="E1767" t="s">
        <v>804</v>
      </c>
      <c r="F1767" t="s">
        <v>21</v>
      </c>
      <c r="G1767">
        <v>-16</v>
      </c>
      <c r="H1767">
        <v>114.67</v>
      </c>
      <c r="I1767">
        <v>1834720</v>
      </c>
      <c r="K1767">
        <v>114.67</v>
      </c>
      <c r="L1767">
        <v>1834720</v>
      </c>
      <c r="M1767" t="s">
        <v>863</v>
      </c>
      <c r="N1767" t="s">
        <v>802</v>
      </c>
    </row>
    <row r="1768" spans="1:14" x14ac:dyDescent="0.25">
      <c r="A1768" s="18">
        <v>46108</v>
      </c>
      <c r="B1768" t="s">
        <v>289</v>
      </c>
      <c r="C1768" t="s">
        <v>771</v>
      </c>
      <c r="D1768" t="s">
        <v>89</v>
      </c>
      <c r="E1768" t="s">
        <v>90</v>
      </c>
      <c r="F1768" t="s">
        <v>21</v>
      </c>
      <c r="G1768">
        <v>932</v>
      </c>
      <c r="H1768">
        <v>98.424999999999997</v>
      </c>
      <c r="I1768">
        <v>-91732.099999999991</v>
      </c>
      <c r="K1768">
        <v>98.424999999999997</v>
      </c>
      <c r="L1768">
        <v>-91732.099999999991</v>
      </c>
      <c r="M1768" t="s">
        <v>89</v>
      </c>
      <c r="N1768" t="s">
        <v>771</v>
      </c>
    </row>
    <row r="1769" spans="1:14" x14ac:dyDescent="0.25">
      <c r="A1769" s="18">
        <v>46108</v>
      </c>
      <c r="B1769" t="s">
        <v>319</v>
      </c>
      <c r="C1769" t="s">
        <v>775</v>
      </c>
      <c r="D1769" t="s">
        <v>126</v>
      </c>
      <c r="E1769" t="s">
        <v>776</v>
      </c>
      <c r="F1769" t="s">
        <v>21</v>
      </c>
      <c r="G1769">
        <v>-7000</v>
      </c>
      <c r="H1769">
        <v>118.05</v>
      </c>
      <c r="I1769">
        <v>826350</v>
      </c>
      <c r="K1769">
        <v>118.05</v>
      </c>
      <c r="L1769">
        <v>826350</v>
      </c>
      <c r="M1769" t="s">
        <v>126</v>
      </c>
      <c r="N1769" t="s">
        <v>775</v>
      </c>
    </row>
    <row r="1770" spans="1:14" x14ac:dyDescent="0.25">
      <c r="A1770" s="18">
        <v>46111</v>
      </c>
      <c r="B1770" t="s">
        <v>289</v>
      </c>
      <c r="C1770" t="s">
        <v>301</v>
      </c>
      <c r="D1770" t="s">
        <v>120</v>
      </c>
      <c r="E1770" t="s">
        <v>363</v>
      </c>
      <c r="F1770" t="s">
        <v>21</v>
      </c>
      <c r="G1770">
        <v>850</v>
      </c>
      <c r="H1770">
        <v>359.87</v>
      </c>
      <c r="I1770">
        <v>-305889.5</v>
      </c>
      <c r="K1770">
        <v>359.87</v>
      </c>
      <c r="L1770">
        <v>-305889.5</v>
      </c>
      <c r="M1770" t="s">
        <v>120</v>
      </c>
      <c r="N1770" t="s">
        <v>301</v>
      </c>
    </row>
    <row r="1771" spans="1:14" x14ac:dyDescent="0.25">
      <c r="A1771" s="18">
        <v>46111</v>
      </c>
      <c r="B1771" t="s">
        <v>289</v>
      </c>
      <c r="C1771" t="s">
        <v>864</v>
      </c>
      <c r="D1771" t="s">
        <v>118</v>
      </c>
      <c r="E1771" t="s">
        <v>119</v>
      </c>
      <c r="F1771" t="s">
        <v>49</v>
      </c>
      <c r="G1771">
        <v>100000</v>
      </c>
      <c r="H1771">
        <v>6.2849000000000004</v>
      </c>
      <c r="I1771">
        <v>-628490</v>
      </c>
      <c r="K1771">
        <v>6.2849000000000004</v>
      </c>
      <c r="L1771">
        <v>-628490</v>
      </c>
      <c r="M1771" t="s">
        <v>118</v>
      </c>
      <c r="N1771" t="s">
        <v>864</v>
      </c>
    </row>
    <row r="1772" spans="1:14" x14ac:dyDescent="0.25">
      <c r="A1772" s="18">
        <v>46111</v>
      </c>
      <c r="B1772" t="s">
        <v>319</v>
      </c>
      <c r="C1772" t="s">
        <v>772</v>
      </c>
      <c r="D1772" t="s">
        <v>773</v>
      </c>
      <c r="E1772" t="s">
        <v>774</v>
      </c>
      <c r="F1772" t="s">
        <v>21</v>
      </c>
      <c r="G1772">
        <v>-4000</v>
      </c>
      <c r="H1772">
        <v>113.35890000000001</v>
      </c>
      <c r="I1772">
        <v>453435.60000000003</v>
      </c>
      <c r="K1772">
        <v>113.35890000000001</v>
      </c>
      <c r="L1772">
        <v>453435.60000000003</v>
      </c>
      <c r="M1772" t="s">
        <v>773</v>
      </c>
      <c r="N1772" t="s">
        <v>772</v>
      </c>
    </row>
    <row r="1773" spans="1:14" x14ac:dyDescent="0.25">
      <c r="A1773" s="18">
        <v>46112</v>
      </c>
      <c r="B1773" t="s">
        <v>289</v>
      </c>
      <c r="C1773" t="s">
        <v>849</v>
      </c>
      <c r="D1773" t="s">
        <v>850</v>
      </c>
      <c r="E1773" t="s">
        <v>851</v>
      </c>
      <c r="F1773" t="s">
        <v>21</v>
      </c>
      <c r="G1773">
        <v>5</v>
      </c>
      <c r="H1773">
        <v>7834.6</v>
      </c>
      <c r="I1773">
        <v>-391730</v>
      </c>
      <c r="K1773">
        <v>7834.6</v>
      </c>
      <c r="L1773">
        <v>-391730</v>
      </c>
      <c r="M1773" t="s">
        <v>850</v>
      </c>
      <c r="N1773" t="s">
        <v>849</v>
      </c>
    </row>
    <row r="1774" spans="1:14" x14ac:dyDescent="0.25">
      <c r="A1774" s="18">
        <v>46112</v>
      </c>
      <c r="B1774" t="s">
        <v>289</v>
      </c>
      <c r="C1774" t="s">
        <v>314</v>
      </c>
      <c r="D1774" t="s">
        <v>315</v>
      </c>
      <c r="E1774" t="s">
        <v>362</v>
      </c>
      <c r="F1774" t="s">
        <v>21</v>
      </c>
      <c r="G1774">
        <v>4200</v>
      </c>
      <c r="H1774">
        <v>23.872199999999999</v>
      </c>
      <c r="I1774">
        <v>-100263.23999999999</v>
      </c>
      <c r="K1774">
        <v>23.872199999999999</v>
      </c>
      <c r="L1774">
        <v>-100263.23999999999</v>
      </c>
      <c r="M1774" t="s">
        <v>315</v>
      </c>
      <c r="N1774" t="s">
        <v>314</v>
      </c>
    </row>
    <row r="1775" spans="1:14" x14ac:dyDescent="0.25">
      <c r="A1775" s="18">
        <v>46112</v>
      </c>
      <c r="B1775" t="s">
        <v>289</v>
      </c>
      <c r="C1775" t="s">
        <v>582</v>
      </c>
      <c r="D1775" t="s">
        <v>83</v>
      </c>
      <c r="E1775" t="s">
        <v>583</v>
      </c>
      <c r="F1775" t="s">
        <v>82</v>
      </c>
      <c r="G1775">
        <v>670</v>
      </c>
      <c r="H1775">
        <v>137.76939999999999</v>
      </c>
      <c r="I1775">
        <v>-92305.497999999992</v>
      </c>
      <c r="K1775">
        <v>137.76939999999999</v>
      </c>
      <c r="L1775">
        <v>-92305.497999999992</v>
      </c>
      <c r="M1775" t="s">
        <v>83</v>
      </c>
      <c r="N1775" t="s">
        <v>582</v>
      </c>
    </row>
    <row r="1776" spans="1:14" x14ac:dyDescent="0.25">
      <c r="A1776" s="18">
        <v>46112</v>
      </c>
      <c r="B1776" t="s">
        <v>319</v>
      </c>
      <c r="C1776" t="s">
        <v>318</v>
      </c>
      <c r="D1776" t="s">
        <v>22</v>
      </c>
      <c r="E1776" t="s">
        <v>23</v>
      </c>
      <c r="F1776" t="s">
        <v>21</v>
      </c>
      <c r="G1776">
        <v>-18132</v>
      </c>
      <c r="H1776">
        <v>21.511399999999998</v>
      </c>
      <c r="I1776">
        <v>390044.70479999995</v>
      </c>
      <c r="K1776">
        <v>21.511399999999998</v>
      </c>
      <c r="L1776">
        <v>390044.70479999995</v>
      </c>
      <c r="M1776" t="s">
        <v>22</v>
      </c>
      <c r="N1776" t="s">
        <v>318</v>
      </c>
    </row>
    <row r="1777" spans="1:14" x14ac:dyDescent="0.25">
      <c r="A1777" s="18">
        <v>46112</v>
      </c>
      <c r="B1777" t="s">
        <v>289</v>
      </c>
      <c r="C1777" t="s">
        <v>783</v>
      </c>
      <c r="D1777" t="s">
        <v>78</v>
      </c>
      <c r="E1777" t="s">
        <v>79</v>
      </c>
      <c r="F1777" t="s">
        <v>21</v>
      </c>
      <c r="G1777">
        <v>3400</v>
      </c>
      <c r="H1777">
        <v>30.356400000000001</v>
      </c>
      <c r="I1777">
        <v>-103211.76000000001</v>
      </c>
      <c r="K1777">
        <v>30.356400000000004</v>
      </c>
      <c r="L1777">
        <v>-103211.76000000001</v>
      </c>
      <c r="M1777" t="s">
        <v>78</v>
      </c>
      <c r="N1777" t="s">
        <v>783</v>
      </c>
    </row>
    <row r="1778" spans="1:14" x14ac:dyDescent="0.25">
      <c r="A1778" s="18">
        <v>46112</v>
      </c>
      <c r="B1778" t="s">
        <v>289</v>
      </c>
      <c r="C1778" t="s">
        <v>484</v>
      </c>
      <c r="D1778" t="s">
        <v>30</v>
      </c>
      <c r="E1778" t="s">
        <v>31</v>
      </c>
      <c r="F1778" t="s">
        <v>21</v>
      </c>
      <c r="G1778">
        <v>1424</v>
      </c>
      <c r="H1778">
        <v>139.30000000000001</v>
      </c>
      <c r="I1778">
        <v>-198363.2</v>
      </c>
      <c r="K1778">
        <v>139.30000000000001</v>
      </c>
      <c r="L1778">
        <v>-198363.2</v>
      </c>
      <c r="M1778" t="s">
        <v>30</v>
      </c>
      <c r="N1778" t="s">
        <v>484</v>
      </c>
    </row>
    <row r="1779" spans="1:14" x14ac:dyDescent="0.25">
      <c r="A1779" s="18">
        <v>46113</v>
      </c>
      <c r="B1779" t="s">
        <v>289</v>
      </c>
      <c r="C1779" t="s">
        <v>477</v>
      </c>
      <c r="D1779" t="s">
        <v>478</v>
      </c>
      <c r="E1779" t="s">
        <v>277</v>
      </c>
      <c r="F1779" t="s">
        <v>157</v>
      </c>
      <c r="G1779">
        <v>7890</v>
      </c>
      <c r="H1779">
        <v>190.34039999999999</v>
      </c>
      <c r="I1779">
        <v>-1501785.7559999998</v>
      </c>
      <c r="K1779">
        <v>190.34039999999999</v>
      </c>
      <c r="L1779">
        <v>-1501785.7559999998</v>
      </c>
      <c r="M1779" t="s">
        <v>478</v>
      </c>
      <c r="N1779" t="s">
        <v>477</v>
      </c>
    </row>
    <row r="1780" spans="1:14" x14ac:dyDescent="0.25">
      <c r="A1780" s="18">
        <v>46113</v>
      </c>
      <c r="B1780" t="s">
        <v>289</v>
      </c>
      <c r="C1780" t="s">
        <v>770</v>
      </c>
      <c r="D1780" t="s">
        <v>34</v>
      </c>
      <c r="E1780" t="s">
        <v>35</v>
      </c>
      <c r="F1780" t="s">
        <v>36</v>
      </c>
      <c r="G1780">
        <v>2519</v>
      </c>
      <c r="H1780">
        <v>71.2256</v>
      </c>
      <c r="I1780">
        <v>-179417.28640000001</v>
      </c>
      <c r="K1780">
        <v>71.2256</v>
      </c>
      <c r="L1780">
        <v>-179417.28640000001</v>
      </c>
      <c r="M1780" t="s">
        <v>34</v>
      </c>
      <c r="N1780" t="s">
        <v>770</v>
      </c>
    </row>
    <row r="1781" spans="1:14" x14ac:dyDescent="0.25">
      <c r="A1781" s="18">
        <v>46113</v>
      </c>
      <c r="B1781" t="s">
        <v>289</v>
      </c>
      <c r="C1781" t="s">
        <v>744</v>
      </c>
      <c r="D1781" t="s">
        <v>56</v>
      </c>
      <c r="E1781" t="s">
        <v>745</v>
      </c>
      <c r="F1781" t="s">
        <v>21</v>
      </c>
      <c r="G1781">
        <v>7390</v>
      </c>
      <c r="H1781">
        <v>27.944099999999999</v>
      </c>
      <c r="I1781">
        <v>-206506.899</v>
      </c>
      <c r="K1781">
        <v>27.944100000000002</v>
      </c>
      <c r="L1781">
        <v>-206506.899</v>
      </c>
      <c r="M1781" t="s">
        <v>56</v>
      </c>
      <c r="N1781" t="s">
        <v>744</v>
      </c>
    </row>
    <row r="1782" spans="1:14" x14ac:dyDescent="0.25">
      <c r="A1782" s="18">
        <v>46113</v>
      </c>
      <c r="B1782" t="s">
        <v>289</v>
      </c>
      <c r="C1782" t="s">
        <v>318</v>
      </c>
      <c r="D1782" t="s">
        <v>22</v>
      </c>
      <c r="E1782" t="s">
        <v>23</v>
      </c>
      <c r="F1782" t="s">
        <v>21</v>
      </c>
      <c r="G1782">
        <v>4690</v>
      </c>
      <c r="H1782">
        <v>21.1815</v>
      </c>
      <c r="I1782">
        <v>-99341.235000000001</v>
      </c>
      <c r="K1782">
        <v>21.1815</v>
      </c>
      <c r="L1782">
        <v>-99341.235000000001</v>
      </c>
      <c r="M1782" t="s">
        <v>22</v>
      </c>
      <c r="N1782" t="s">
        <v>318</v>
      </c>
    </row>
    <row r="1783" spans="1:14" x14ac:dyDescent="0.25">
      <c r="A1783" s="18">
        <v>46113</v>
      </c>
      <c r="B1783" t="s">
        <v>289</v>
      </c>
      <c r="C1783" t="s">
        <v>477</v>
      </c>
      <c r="D1783" t="s">
        <v>478</v>
      </c>
      <c r="E1783" t="s">
        <v>277</v>
      </c>
      <c r="F1783" t="s">
        <v>157</v>
      </c>
      <c r="G1783">
        <v>3909</v>
      </c>
      <c r="H1783">
        <v>187.9271</v>
      </c>
      <c r="I1783">
        <v>-734607.03390000004</v>
      </c>
      <c r="K1783">
        <v>187.9271</v>
      </c>
      <c r="L1783">
        <v>-734607.03390000004</v>
      </c>
      <c r="M1783" t="s">
        <v>478</v>
      </c>
      <c r="N1783" t="s">
        <v>477</v>
      </c>
    </row>
    <row r="1784" spans="1:14" x14ac:dyDescent="0.25">
      <c r="A1784" s="18">
        <v>46113</v>
      </c>
      <c r="B1784" t="s">
        <v>289</v>
      </c>
      <c r="C1784" t="s">
        <v>865</v>
      </c>
      <c r="D1784" t="s">
        <v>866</v>
      </c>
      <c r="E1784" t="s">
        <v>867</v>
      </c>
      <c r="F1784" t="s">
        <v>21</v>
      </c>
      <c r="G1784">
        <v>800</v>
      </c>
      <c r="H1784">
        <v>265.67529999999999</v>
      </c>
      <c r="I1784">
        <v>-212540.24</v>
      </c>
      <c r="K1784">
        <v>265.67529999999999</v>
      </c>
      <c r="L1784">
        <v>-212540.24</v>
      </c>
      <c r="M1784" t="s">
        <v>866</v>
      </c>
      <c r="N1784" t="s">
        <v>865</v>
      </c>
    </row>
    <row r="1785" spans="1:14" x14ac:dyDescent="0.25">
      <c r="A1785" s="18">
        <v>46113</v>
      </c>
      <c r="B1785" t="s">
        <v>319</v>
      </c>
      <c r="C1785" t="s">
        <v>342</v>
      </c>
      <c r="D1785" t="s">
        <v>343</v>
      </c>
      <c r="E1785" t="s">
        <v>282</v>
      </c>
      <c r="F1785" t="s">
        <v>21</v>
      </c>
      <c r="G1785">
        <v>-2859</v>
      </c>
      <c r="H1785">
        <v>72.09</v>
      </c>
      <c r="I1785">
        <v>206105.31</v>
      </c>
      <c r="K1785">
        <v>72.09</v>
      </c>
      <c r="L1785">
        <v>206105.31</v>
      </c>
      <c r="M1785" t="s">
        <v>343</v>
      </c>
      <c r="N1785" t="s">
        <v>342</v>
      </c>
    </row>
    <row r="1786" spans="1:14" x14ac:dyDescent="0.25">
      <c r="A1786" s="18">
        <v>46113</v>
      </c>
      <c r="B1786" t="s">
        <v>319</v>
      </c>
      <c r="C1786" t="s">
        <v>342</v>
      </c>
      <c r="D1786" t="s">
        <v>343</v>
      </c>
      <c r="E1786" t="s">
        <v>282</v>
      </c>
      <c r="F1786" t="s">
        <v>21</v>
      </c>
      <c r="G1786">
        <v>-1429</v>
      </c>
      <c r="H1786">
        <v>72.012500000000003</v>
      </c>
      <c r="I1786">
        <v>102905.8625</v>
      </c>
      <c r="K1786">
        <v>72.012500000000003</v>
      </c>
      <c r="L1786">
        <v>102905.8625</v>
      </c>
      <c r="M1786" t="s">
        <v>343</v>
      </c>
      <c r="N1786" t="s">
        <v>342</v>
      </c>
    </row>
    <row r="1787" spans="1:14" x14ac:dyDescent="0.25">
      <c r="A1787" s="18">
        <v>46114</v>
      </c>
      <c r="B1787" t="s">
        <v>319</v>
      </c>
      <c r="C1787" t="s">
        <v>342</v>
      </c>
      <c r="D1787" t="s">
        <v>343</v>
      </c>
      <c r="E1787" t="s">
        <v>282</v>
      </c>
      <c r="F1787" t="s">
        <v>21</v>
      </c>
      <c r="G1787">
        <v>-862</v>
      </c>
      <c r="H1787">
        <v>70.718900000000005</v>
      </c>
      <c r="I1787">
        <v>60959.691800000008</v>
      </c>
      <c r="K1787">
        <v>70.718900000000005</v>
      </c>
      <c r="L1787">
        <v>60959.691800000008</v>
      </c>
      <c r="M1787" t="s">
        <v>343</v>
      </c>
      <c r="N1787" t="s">
        <v>342</v>
      </c>
    </row>
    <row r="1788" spans="1:14" x14ac:dyDescent="0.25">
      <c r="A1788" s="18">
        <v>46114</v>
      </c>
      <c r="B1788" t="s">
        <v>289</v>
      </c>
      <c r="C1788" t="s">
        <v>865</v>
      </c>
      <c r="D1788" t="s">
        <v>866</v>
      </c>
      <c r="E1788" t="s">
        <v>867</v>
      </c>
      <c r="F1788" t="s">
        <v>21</v>
      </c>
      <c r="G1788">
        <v>375</v>
      </c>
      <c r="H1788">
        <v>267.01960000000003</v>
      </c>
      <c r="I1788">
        <v>-100132.35</v>
      </c>
      <c r="K1788">
        <v>267.01960000000003</v>
      </c>
      <c r="L1788">
        <v>-100132.35</v>
      </c>
      <c r="M1788" t="s">
        <v>866</v>
      </c>
      <c r="N1788" t="s">
        <v>865</v>
      </c>
    </row>
    <row r="1789" spans="1:14" x14ac:dyDescent="0.25">
      <c r="A1789" s="18">
        <v>46114</v>
      </c>
      <c r="B1789" t="s">
        <v>319</v>
      </c>
      <c r="C1789" t="s">
        <v>339</v>
      </c>
      <c r="D1789" t="s">
        <v>340</v>
      </c>
      <c r="E1789" t="s">
        <v>341</v>
      </c>
      <c r="F1789" t="s">
        <v>21</v>
      </c>
      <c r="G1789">
        <v>-1095</v>
      </c>
      <c r="H1789">
        <v>176.90690000000001</v>
      </c>
      <c r="I1789">
        <v>193713.05550000002</v>
      </c>
      <c r="K1789">
        <v>176.90690000000001</v>
      </c>
      <c r="L1789">
        <v>193713.05550000002</v>
      </c>
      <c r="M1789" t="s">
        <v>340</v>
      </c>
      <c r="N1789" t="s">
        <v>339</v>
      </c>
    </row>
    <row r="1790" spans="1:14" x14ac:dyDescent="0.25">
      <c r="A1790" s="18">
        <v>46114</v>
      </c>
      <c r="B1790" t="s">
        <v>319</v>
      </c>
      <c r="C1790" t="s">
        <v>294</v>
      </c>
      <c r="D1790" t="s">
        <v>80</v>
      </c>
      <c r="E1790" t="s">
        <v>505</v>
      </c>
      <c r="F1790" t="s">
        <v>82</v>
      </c>
      <c r="G1790">
        <v>-2716</v>
      </c>
      <c r="H1790">
        <v>66.436800000000005</v>
      </c>
      <c r="I1790">
        <v>180442.34880000001</v>
      </c>
      <c r="K1790">
        <v>66.436800000000005</v>
      </c>
      <c r="L1790">
        <v>180442.34880000001</v>
      </c>
      <c r="M1790" t="s">
        <v>80</v>
      </c>
      <c r="N1790" t="s">
        <v>294</v>
      </c>
    </row>
    <row r="1791" spans="1:14" x14ac:dyDescent="0.25">
      <c r="A1791" s="18">
        <v>46114</v>
      </c>
      <c r="B1791" t="s">
        <v>289</v>
      </c>
      <c r="C1791" t="s">
        <v>770</v>
      </c>
      <c r="D1791" t="s">
        <v>34</v>
      </c>
      <c r="E1791" t="s">
        <v>35</v>
      </c>
      <c r="F1791" t="s">
        <v>36</v>
      </c>
      <c r="G1791">
        <v>3200</v>
      </c>
      <c r="H1791">
        <v>69.745599999999996</v>
      </c>
      <c r="I1791">
        <v>-223185.91999999998</v>
      </c>
      <c r="K1791">
        <v>69.745599999999996</v>
      </c>
      <c r="L1791">
        <v>-223185.91999999998</v>
      </c>
      <c r="M1791" t="s">
        <v>34</v>
      </c>
      <c r="N1791" t="s">
        <v>770</v>
      </c>
    </row>
    <row r="1792" spans="1:14" x14ac:dyDescent="0.25">
      <c r="A1792" s="18">
        <v>46114</v>
      </c>
      <c r="B1792" t="s">
        <v>289</v>
      </c>
      <c r="C1792" t="s">
        <v>783</v>
      </c>
      <c r="D1792" t="s">
        <v>78</v>
      </c>
      <c r="E1792" t="s">
        <v>79</v>
      </c>
      <c r="F1792" t="s">
        <v>21</v>
      </c>
      <c r="G1792">
        <v>3095</v>
      </c>
      <c r="H1792">
        <v>31.125800000000002</v>
      </c>
      <c r="I1792">
        <v>-96334.35100000001</v>
      </c>
      <c r="K1792">
        <v>31.125800000000002</v>
      </c>
      <c r="L1792">
        <v>-96334.35100000001</v>
      </c>
      <c r="M1792" t="s">
        <v>78</v>
      </c>
      <c r="N1792" t="s">
        <v>783</v>
      </c>
    </row>
    <row r="1793" spans="1:14" x14ac:dyDescent="0.25">
      <c r="A1793" s="18">
        <v>46114</v>
      </c>
      <c r="B1793" t="s">
        <v>319</v>
      </c>
      <c r="C1793" t="s">
        <v>753</v>
      </c>
      <c r="D1793" t="s">
        <v>754</v>
      </c>
      <c r="E1793" t="s">
        <v>276</v>
      </c>
      <c r="F1793" t="s">
        <v>21</v>
      </c>
      <c r="G1793">
        <v>-3119</v>
      </c>
      <c r="H1793">
        <v>60.15</v>
      </c>
      <c r="I1793">
        <v>187607.85</v>
      </c>
      <c r="K1793">
        <v>60.15</v>
      </c>
      <c r="L1793">
        <v>187607.85</v>
      </c>
      <c r="M1793" t="s">
        <v>754</v>
      </c>
      <c r="N1793" t="s">
        <v>753</v>
      </c>
    </row>
    <row r="1794" spans="1:14" x14ac:dyDescent="0.25">
      <c r="A1794" s="18">
        <v>46119</v>
      </c>
      <c r="B1794" t="s">
        <v>289</v>
      </c>
      <c r="C1794" t="s">
        <v>311</v>
      </c>
      <c r="D1794" t="s">
        <v>312</v>
      </c>
      <c r="E1794" t="s">
        <v>313</v>
      </c>
      <c r="F1794" t="s">
        <v>21</v>
      </c>
      <c r="G1794">
        <v>527</v>
      </c>
      <c r="H1794">
        <v>288.3</v>
      </c>
      <c r="I1794">
        <v>-151934.1</v>
      </c>
      <c r="K1794">
        <v>288.3</v>
      </c>
      <c r="L1794">
        <v>-151934.1</v>
      </c>
      <c r="M1794" t="s">
        <v>312</v>
      </c>
      <c r="N1794" t="s">
        <v>311</v>
      </c>
    </row>
    <row r="1795" spans="1:14" x14ac:dyDescent="0.25">
      <c r="A1795" s="18">
        <v>46119</v>
      </c>
      <c r="B1795" t="s">
        <v>289</v>
      </c>
      <c r="C1795" t="s">
        <v>746</v>
      </c>
      <c r="D1795" t="s">
        <v>52</v>
      </c>
      <c r="E1795" t="s">
        <v>53</v>
      </c>
      <c r="F1795" t="s">
        <v>21</v>
      </c>
      <c r="G1795">
        <v>2719</v>
      </c>
      <c r="H1795">
        <v>57.871899999999997</v>
      </c>
      <c r="I1795">
        <v>-157353.6961</v>
      </c>
      <c r="K1795">
        <v>57.871900000000004</v>
      </c>
      <c r="L1795">
        <v>-157353.6961</v>
      </c>
      <c r="M1795" t="s">
        <v>52</v>
      </c>
      <c r="N1795" t="s">
        <v>746</v>
      </c>
    </row>
    <row r="1796" spans="1:14" x14ac:dyDescent="0.25">
      <c r="A1796" s="18">
        <v>46119</v>
      </c>
      <c r="B1796" t="s">
        <v>319</v>
      </c>
      <c r="C1796" t="s">
        <v>339</v>
      </c>
      <c r="D1796" t="s">
        <v>340</v>
      </c>
      <c r="E1796" t="s">
        <v>341</v>
      </c>
      <c r="F1796" t="s">
        <v>21</v>
      </c>
      <c r="G1796">
        <v>-955</v>
      </c>
      <c r="H1796">
        <v>172.94630000000001</v>
      </c>
      <c r="I1796">
        <v>165163.71650000001</v>
      </c>
      <c r="K1796">
        <v>172.94630000000001</v>
      </c>
      <c r="L1796">
        <v>165163.71650000001</v>
      </c>
      <c r="M1796" t="s">
        <v>340</v>
      </c>
      <c r="N1796" t="s">
        <v>339</v>
      </c>
    </row>
    <row r="1797" spans="1:14" x14ac:dyDescent="0.25">
      <c r="A1797" s="18">
        <v>46119</v>
      </c>
      <c r="B1797" t="s">
        <v>319</v>
      </c>
      <c r="C1797" t="s">
        <v>828</v>
      </c>
      <c r="D1797" t="s">
        <v>829</v>
      </c>
      <c r="E1797" t="s">
        <v>830</v>
      </c>
      <c r="F1797" t="s">
        <v>49</v>
      </c>
      <c r="G1797">
        <v>-42000</v>
      </c>
      <c r="H1797">
        <v>5.5640000000000001</v>
      </c>
      <c r="I1797">
        <v>233688</v>
      </c>
      <c r="K1797">
        <v>5.5640000000000001</v>
      </c>
      <c r="L1797">
        <v>233688</v>
      </c>
      <c r="M1797" t="s">
        <v>829</v>
      </c>
      <c r="N1797" t="s">
        <v>828</v>
      </c>
    </row>
    <row r="1798" spans="1:14" x14ac:dyDescent="0.25">
      <c r="A1798" s="18">
        <v>46120</v>
      </c>
      <c r="B1798" t="s">
        <v>289</v>
      </c>
      <c r="C1798" t="s">
        <v>294</v>
      </c>
      <c r="D1798" t="s">
        <v>80</v>
      </c>
      <c r="E1798" t="s">
        <v>505</v>
      </c>
      <c r="F1798" t="s">
        <v>82</v>
      </c>
      <c r="G1798">
        <v>2100</v>
      </c>
      <c r="H1798">
        <v>69.989999999999995</v>
      </c>
      <c r="I1798">
        <v>-146979</v>
      </c>
      <c r="K1798">
        <v>69.989999999999995</v>
      </c>
      <c r="L1798">
        <v>-146979</v>
      </c>
      <c r="M1798" t="s">
        <v>80</v>
      </c>
      <c r="N1798" t="s">
        <v>294</v>
      </c>
    </row>
    <row r="1799" spans="1:14" x14ac:dyDescent="0.25">
      <c r="A1799" s="18">
        <v>46120</v>
      </c>
      <c r="B1799" t="s">
        <v>289</v>
      </c>
      <c r="C1799" t="s">
        <v>846</v>
      </c>
      <c r="D1799" t="s">
        <v>847</v>
      </c>
      <c r="E1799" t="s">
        <v>848</v>
      </c>
      <c r="F1799" t="s">
        <v>21</v>
      </c>
      <c r="G1799">
        <v>3</v>
      </c>
      <c r="H1799">
        <v>24171</v>
      </c>
      <c r="I1799">
        <v>-362565</v>
      </c>
      <c r="K1799">
        <v>24171</v>
      </c>
      <c r="L1799">
        <v>-362565</v>
      </c>
      <c r="M1799" t="s">
        <v>847</v>
      </c>
      <c r="N1799" t="s">
        <v>846</v>
      </c>
    </row>
    <row r="1800" spans="1:14" x14ac:dyDescent="0.25">
      <c r="A1800" s="18">
        <v>46120</v>
      </c>
      <c r="B1800" t="s">
        <v>289</v>
      </c>
      <c r="C1800" t="s">
        <v>849</v>
      </c>
      <c r="D1800" t="s">
        <v>850</v>
      </c>
      <c r="E1800" t="s">
        <v>851</v>
      </c>
      <c r="F1800" t="s">
        <v>21</v>
      </c>
      <c r="G1800">
        <v>4</v>
      </c>
      <c r="H1800">
        <v>8235</v>
      </c>
      <c r="I1800">
        <v>-329400</v>
      </c>
      <c r="K1800">
        <v>8235</v>
      </c>
      <c r="L1800">
        <v>-329400</v>
      </c>
      <c r="M1800" t="s">
        <v>850</v>
      </c>
      <c r="N1800" t="s">
        <v>849</v>
      </c>
    </row>
    <row r="1801" spans="1:14" x14ac:dyDescent="0.25">
      <c r="A1801" s="18">
        <v>46120</v>
      </c>
      <c r="B1801" t="s">
        <v>289</v>
      </c>
      <c r="C1801" t="s">
        <v>326</v>
      </c>
      <c r="D1801" t="s">
        <v>327</v>
      </c>
      <c r="E1801" t="s">
        <v>251</v>
      </c>
      <c r="F1801" t="s">
        <v>21</v>
      </c>
      <c r="G1801">
        <v>2150</v>
      </c>
      <c r="H1801">
        <v>135.81180000000001</v>
      </c>
      <c r="I1801">
        <v>-291995.37</v>
      </c>
      <c r="K1801">
        <v>135.81180000000001</v>
      </c>
      <c r="L1801">
        <v>-291995.37</v>
      </c>
      <c r="M1801" t="s">
        <v>327</v>
      </c>
      <c r="N1801" t="s">
        <v>326</v>
      </c>
    </row>
    <row r="1802" spans="1:14" x14ac:dyDescent="0.25">
      <c r="A1802" s="18">
        <v>46120</v>
      </c>
      <c r="B1802" t="s">
        <v>319</v>
      </c>
      <c r="C1802" t="s">
        <v>828</v>
      </c>
      <c r="D1802" t="s">
        <v>829</v>
      </c>
      <c r="E1802" t="s">
        <v>830</v>
      </c>
      <c r="F1802" t="s">
        <v>49</v>
      </c>
      <c r="G1802">
        <v>-38300</v>
      </c>
      <c r="H1802">
        <v>5.6002999999999998</v>
      </c>
      <c r="I1802">
        <v>214491.49</v>
      </c>
      <c r="K1802">
        <v>5.6002999999999998</v>
      </c>
      <c r="L1802">
        <v>214491.49</v>
      </c>
      <c r="M1802" t="s">
        <v>829</v>
      </c>
      <c r="N1802" t="s">
        <v>828</v>
      </c>
    </row>
    <row r="1803" spans="1:14" x14ac:dyDescent="0.25">
      <c r="A1803" s="18">
        <v>46120</v>
      </c>
      <c r="B1803" t="s">
        <v>289</v>
      </c>
      <c r="C1803" t="s">
        <v>318</v>
      </c>
      <c r="D1803" t="s">
        <v>22</v>
      </c>
      <c r="E1803" t="s">
        <v>23</v>
      </c>
      <c r="F1803" t="s">
        <v>21</v>
      </c>
      <c r="G1803">
        <v>6000</v>
      </c>
      <c r="H1803">
        <v>21.24</v>
      </c>
      <c r="I1803">
        <v>-127439.99999999999</v>
      </c>
      <c r="K1803">
        <v>21.24</v>
      </c>
      <c r="L1803">
        <v>-127439.99999999999</v>
      </c>
      <c r="M1803" t="s">
        <v>22</v>
      </c>
      <c r="N1803" t="s">
        <v>318</v>
      </c>
    </row>
    <row r="1804" spans="1:14" x14ac:dyDescent="0.25">
      <c r="A1804" s="18">
        <v>46120</v>
      </c>
      <c r="B1804" t="s">
        <v>289</v>
      </c>
      <c r="C1804" t="s">
        <v>837</v>
      </c>
      <c r="D1804" t="s">
        <v>838</v>
      </c>
      <c r="E1804" t="s">
        <v>839</v>
      </c>
      <c r="F1804" t="s">
        <v>49</v>
      </c>
      <c r="G1804">
        <v>2</v>
      </c>
      <c r="H1804">
        <v>6833</v>
      </c>
      <c r="I1804">
        <v>-683300</v>
      </c>
      <c r="K1804">
        <v>6833</v>
      </c>
      <c r="L1804">
        <v>-683300</v>
      </c>
      <c r="M1804" t="s">
        <v>838</v>
      </c>
      <c r="N1804" t="s">
        <v>837</v>
      </c>
    </row>
    <row r="1805" spans="1:14" x14ac:dyDescent="0.25">
      <c r="A1805" s="18">
        <v>46120</v>
      </c>
      <c r="B1805" t="s">
        <v>319</v>
      </c>
      <c r="C1805" t="s">
        <v>828</v>
      </c>
      <c r="D1805" t="s">
        <v>829</v>
      </c>
      <c r="E1805" t="s">
        <v>830</v>
      </c>
      <c r="F1805" t="s">
        <v>49</v>
      </c>
      <c r="G1805">
        <v>-38300</v>
      </c>
      <c r="H1805">
        <v>5.5873999999999997</v>
      </c>
      <c r="I1805">
        <v>213997.41999999998</v>
      </c>
      <c r="K1805">
        <v>5.5873999999999997</v>
      </c>
      <c r="L1805">
        <v>213997.41999999998</v>
      </c>
      <c r="M1805" t="s">
        <v>829</v>
      </c>
      <c r="N1805" t="s">
        <v>828</v>
      </c>
    </row>
    <row r="1806" spans="1:14" x14ac:dyDescent="0.25">
      <c r="A1806" s="18">
        <v>46120</v>
      </c>
      <c r="B1806" t="s">
        <v>289</v>
      </c>
      <c r="C1806" t="s">
        <v>739</v>
      </c>
      <c r="D1806" t="s">
        <v>740</v>
      </c>
      <c r="E1806" t="s">
        <v>741</v>
      </c>
      <c r="F1806" t="s">
        <v>49</v>
      </c>
      <c r="G1806">
        <v>205</v>
      </c>
      <c r="H1806">
        <v>363.93509999999998</v>
      </c>
      <c r="I1806">
        <v>-74606.695500000002</v>
      </c>
      <c r="K1806">
        <v>363.93510000000003</v>
      </c>
      <c r="L1806">
        <v>-74606.695500000002</v>
      </c>
      <c r="M1806" t="s">
        <v>740</v>
      </c>
      <c r="N1806" t="s">
        <v>739</v>
      </c>
    </row>
    <row r="1807" spans="1:14" x14ac:dyDescent="0.25">
      <c r="A1807" s="18">
        <v>46120</v>
      </c>
      <c r="B1807" t="s">
        <v>289</v>
      </c>
      <c r="C1807" t="s">
        <v>823</v>
      </c>
      <c r="D1807" t="s">
        <v>824</v>
      </c>
      <c r="E1807" t="s">
        <v>280</v>
      </c>
      <c r="F1807" t="s">
        <v>21</v>
      </c>
      <c r="G1807">
        <v>55</v>
      </c>
      <c r="H1807">
        <v>1203.4000000000001</v>
      </c>
      <c r="I1807">
        <v>-66187</v>
      </c>
      <c r="K1807">
        <v>1203.4000000000001</v>
      </c>
      <c r="L1807">
        <v>-66187</v>
      </c>
      <c r="M1807" t="s">
        <v>824</v>
      </c>
      <c r="N1807" t="s">
        <v>823</v>
      </c>
    </row>
    <row r="1808" spans="1:14" x14ac:dyDescent="0.25">
      <c r="A1808" s="18">
        <v>46120</v>
      </c>
      <c r="B1808" t="s">
        <v>289</v>
      </c>
      <c r="C1808" t="s">
        <v>477</v>
      </c>
      <c r="D1808" t="s">
        <v>478</v>
      </c>
      <c r="E1808" t="s">
        <v>277</v>
      </c>
      <c r="F1808" t="s">
        <v>157</v>
      </c>
      <c r="G1808">
        <v>5500</v>
      </c>
      <c r="H1808">
        <v>189.10400000000001</v>
      </c>
      <c r="I1808">
        <v>-1040072.0000000001</v>
      </c>
      <c r="K1808">
        <v>189.10400000000001</v>
      </c>
      <c r="L1808">
        <v>-1040072.0000000001</v>
      </c>
      <c r="M1808" t="s">
        <v>478</v>
      </c>
      <c r="N1808" t="s">
        <v>477</v>
      </c>
    </row>
    <row r="1809" spans="1:14" x14ac:dyDescent="0.25">
      <c r="A1809" s="18">
        <v>46120</v>
      </c>
      <c r="B1809" t="s">
        <v>319</v>
      </c>
      <c r="C1809" t="s">
        <v>857</v>
      </c>
      <c r="D1809" t="s">
        <v>858</v>
      </c>
      <c r="E1809" t="s">
        <v>859</v>
      </c>
      <c r="F1809" t="s">
        <v>21</v>
      </c>
      <c r="G1809">
        <v>-2752</v>
      </c>
      <c r="H1809">
        <v>52.8962</v>
      </c>
      <c r="I1809">
        <v>145570.34239999999</v>
      </c>
      <c r="K1809">
        <v>52.8962</v>
      </c>
      <c r="L1809">
        <v>145570.34239999999</v>
      </c>
      <c r="M1809" t="s">
        <v>858</v>
      </c>
      <c r="N1809" t="s">
        <v>857</v>
      </c>
    </row>
    <row r="1810" spans="1:14" x14ac:dyDescent="0.25">
      <c r="A1810" s="18">
        <v>46121</v>
      </c>
      <c r="B1810" t="s">
        <v>319</v>
      </c>
      <c r="C1810" t="s">
        <v>573</v>
      </c>
      <c r="D1810" t="s">
        <v>124</v>
      </c>
      <c r="E1810" t="s">
        <v>574</v>
      </c>
      <c r="F1810" t="s">
        <v>21</v>
      </c>
      <c r="G1810">
        <v>-6576</v>
      </c>
      <c r="H1810">
        <v>111.11</v>
      </c>
      <c r="I1810">
        <v>730659.36</v>
      </c>
      <c r="K1810">
        <v>111.11</v>
      </c>
      <c r="L1810">
        <v>730659.36</v>
      </c>
      <c r="M1810" t="s">
        <v>124</v>
      </c>
      <c r="N1810" t="s">
        <v>573</v>
      </c>
    </row>
    <row r="1811" spans="1:14" x14ac:dyDescent="0.25">
      <c r="A1811" s="18">
        <v>46122</v>
      </c>
      <c r="B1811" t="s">
        <v>319</v>
      </c>
      <c r="C1811" t="s">
        <v>825</v>
      </c>
      <c r="D1811" t="s">
        <v>826</v>
      </c>
      <c r="E1811" t="s">
        <v>827</v>
      </c>
      <c r="F1811" t="s">
        <v>21</v>
      </c>
      <c r="G1811">
        <v>-4280</v>
      </c>
      <c r="H1811">
        <v>35.075000000000003</v>
      </c>
      <c r="I1811">
        <v>150121</v>
      </c>
      <c r="K1811">
        <v>35.075000000000003</v>
      </c>
      <c r="L1811">
        <v>150121</v>
      </c>
      <c r="M1811" t="s">
        <v>826</v>
      </c>
      <c r="N1811" t="s">
        <v>825</v>
      </c>
    </row>
    <row r="1812" spans="1:14" x14ac:dyDescent="0.25">
      <c r="A1812" s="18">
        <v>46122</v>
      </c>
      <c r="B1812" t="s">
        <v>289</v>
      </c>
      <c r="C1812" t="s">
        <v>708</v>
      </c>
      <c r="D1812" t="s">
        <v>709</v>
      </c>
      <c r="E1812" t="s">
        <v>710</v>
      </c>
      <c r="F1812" t="s">
        <v>21</v>
      </c>
      <c r="G1812">
        <v>7529</v>
      </c>
      <c r="H1812">
        <v>19.754200000000001</v>
      </c>
      <c r="I1812">
        <v>-148729.37179999999</v>
      </c>
      <c r="K1812">
        <v>19.754200000000001</v>
      </c>
      <c r="L1812">
        <v>-148729.37179999999</v>
      </c>
      <c r="M1812" t="s">
        <v>709</v>
      </c>
      <c r="N1812" t="s">
        <v>708</v>
      </c>
    </row>
    <row r="1813" spans="1:14" x14ac:dyDescent="0.25">
      <c r="A1813" s="18">
        <v>46125</v>
      </c>
      <c r="B1813" t="s">
        <v>289</v>
      </c>
      <c r="C1813" t="s">
        <v>424</v>
      </c>
      <c r="D1813" t="s">
        <v>41</v>
      </c>
      <c r="E1813" t="s">
        <v>42</v>
      </c>
      <c r="F1813" t="s">
        <v>36</v>
      </c>
      <c r="G1813">
        <v>11000</v>
      </c>
      <c r="H1813">
        <v>12.548</v>
      </c>
      <c r="I1813">
        <v>-138028</v>
      </c>
      <c r="K1813">
        <v>12.548</v>
      </c>
      <c r="L1813">
        <v>-138028</v>
      </c>
      <c r="M1813" t="s">
        <v>41</v>
      </c>
      <c r="N1813" t="s">
        <v>424</v>
      </c>
    </row>
    <row r="1814" spans="1:14" x14ac:dyDescent="0.25">
      <c r="A1814" s="18">
        <v>46125</v>
      </c>
      <c r="B1814" t="s">
        <v>319</v>
      </c>
      <c r="C1814" t="s">
        <v>311</v>
      </c>
      <c r="D1814" t="s">
        <v>312</v>
      </c>
      <c r="E1814" t="s">
        <v>313</v>
      </c>
      <c r="F1814" t="s">
        <v>21</v>
      </c>
      <c r="G1814">
        <v>-527</v>
      </c>
      <c r="H1814">
        <v>306.95</v>
      </c>
      <c r="I1814">
        <v>161762.65</v>
      </c>
      <c r="K1814">
        <v>306.95</v>
      </c>
      <c r="L1814">
        <v>161762.65</v>
      </c>
      <c r="M1814" t="s">
        <v>312</v>
      </c>
      <c r="N1814" t="s">
        <v>311</v>
      </c>
    </row>
    <row r="1815" spans="1:14" x14ac:dyDescent="0.25">
      <c r="A1815" s="18">
        <v>46125</v>
      </c>
      <c r="B1815" t="s">
        <v>289</v>
      </c>
      <c r="C1815" t="s">
        <v>424</v>
      </c>
      <c r="D1815" t="s">
        <v>41</v>
      </c>
      <c r="E1815" t="s">
        <v>42</v>
      </c>
      <c r="F1815" t="s">
        <v>36</v>
      </c>
      <c r="G1815">
        <v>4800</v>
      </c>
      <c r="H1815">
        <v>12.744</v>
      </c>
      <c r="I1815">
        <v>-61171.199999999997</v>
      </c>
      <c r="K1815">
        <v>12.744</v>
      </c>
      <c r="L1815">
        <v>-61171.199999999997</v>
      </c>
      <c r="M1815" t="s">
        <v>41</v>
      </c>
      <c r="N1815" t="s">
        <v>424</v>
      </c>
    </row>
    <row r="1816" spans="1:14" x14ac:dyDescent="0.25">
      <c r="A1816" s="18">
        <v>46125</v>
      </c>
      <c r="B1816" t="s">
        <v>289</v>
      </c>
      <c r="C1816" t="s">
        <v>868</v>
      </c>
      <c r="D1816" t="s">
        <v>24</v>
      </c>
      <c r="E1816" t="s">
        <v>25</v>
      </c>
      <c r="F1816" t="s">
        <v>21</v>
      </c>
      <c r="G1816">
        <v>300</v>
      </c>
      <c r="H1816">
        <v>479.8</v>
      </c>
      <c r="I1816">
        <v>-143940</v>
      </c>
      <c r="K1816">
        <v>479.8</v>
      </c>
      <c r="L1816">
        <v>-143940</v>
      </c>
      <c r="M1816" t="s">
        <v>24</v>
      </c>
      <c r="N1816" t="s">
        <v>868</v>
      </c>
    </row>
    <row r="1817" spans="1:14" x14ac:dyDescent="0.25">
      <c r="A1817" s="18">
        <v>46125</v>
      </c>
      <c r="B1817" t="s">
        <v>319</v>
      </c>
      <c r="C1817" t="s">
        <v>755</v>
      </c>
      <c r="D1817" t="s">
        <v>756</v>
      </c>
      <c r="E1817" t="s">
        <v>757</v>
      </c>
      <c r="F1817" t="s">
        <v>49</v>
      </c>
      <c r="G1817">
        <v>-273</v>
      </c>
      <c r="H1817">
        <v>306.81740000000002</v>
      </c>
      <c r="I1817">
        <v>83761.150200000004</v>
      </c>
      <c r="K1817">
        <v>306.81740000000002</v>
      </c>
      <c r="L1817">
        <v>83761.150200000004</v>
      </c>
      <c r="M1817" t="s">
        <v>756</v>
      </c>
      <c r="N1817" t="s">
        <v>755</v>
      </c>
    </row>
    <row r="1818" spans="1:14" x14ac:dyDescent="0.25">
      <c r="A1818" s="18">
        <v>46125</v>
      </c>
      <c r="B1818" t="s">
        <v>319</v>
      </c>
      <c r="C1818" t="s">
        <v>599</v>
      </c>
      <c r="D1818" t="s">
        <v>600</v>
      </c>
      <c r="E1818" t="s">
        <v>601</v>
      </c>
      <c r="F1818" t="s">
        <v>21</v>
      </c>
      <c r="G1818">
        <v>-425</v>
      </c>
      <c r="H1818">
        <v>355.86149999999998</v>
      </c>
      <c r="I1818">
        <v>151241.13749999998</v>
      </c>
      <c r="K1818">
        <v>355.86149999999998</v>
      </c>
      <c r="L1818">
        <v>151241.13749999998</v>
      </c>
      <c r="M1818" t="s">
        <v>600</v>
      </c>
      <c r="N1818" t="s">
        <v>599</v>
      </c>
    </row>
    <row r="1819" spans="1:14" x14ac:dyDescent="0.25">
      <c r="A1819" s="18">
        <v>46126</v>
      </c>
      <c r="B1819" t="s">
        <v>319</v>
      </c>
      <c r="C1819" t="s">
        <v>314</v>
      </c>
      <c r="D1819" t="s">
        <v>315</v>
      </c>
      <c r="E1819" t="s">
        <v>362</v>
      </c>
      <c r="F1819" t="s">
        <v>21</v>
      </c>
      <c r="G1819">
        <v>-4000</v>
      </c>
      <c r="H1819">
        <v>25.75</v>
      </c>
      <c r="I1819">
        <v>103000</v>
      </c>
      <c r="K1819">
        <v>25.75</v>
      </c>
      <c r="L1819">
        <v>103000</v>
      </c>
      <c r="M1819" t="s">
        <v>315</v>
      </c>
      <c r="N1819" t="s">
        <v>314</v>
      </c>
    </row>
    <row r="1820" spans="1:14" x14ac:dyDescent="0.25">
      <c r="A1820" s="18">
        <v>46126</v>
      </c>
      <c r="B1820" t="s">
        <v>289</v>
      </c>
      <c r="C1820" t="s">
        <v>708</v>
      </c>
      <c r="D1820" t="s">
        <v>709</v>
      </c>
      <c r="E1820" t="s">
        <v>710</v>
      </c>
      <c r="F1820" t="s">
        <v>21</v>
      </c>
      <c r="G1820">
        <v>5200</v>
      </c>
      <c r="H1820">
        <v>19.45</v>
      </c>
      <c r="I1820">
        <v>-101140</v>
      </c>
      <c r="K1820">
        <v>19.45</v>
      </c>
      <c r="L1820">
        <v>-101140</v>
      </c>
      <c r="M1820" t="s">
        <v>709</v>
      </c>
      <c r="N1820" t="s">
        <v>708</v>
      </c>
    </row>
    <row r="1821" spans="1:14" x14ac:dyDescent="0.25">
      <c r="A1821" s="18">
        <v>46126</v>
      </c>
      <c r="B1821" t="s">
        <v>289</v>
      </c>
      <c r="C1821" t="s">
        <v>796</v>
      </c>
      <c r="D1821" t="s">
        <v>797</v>
      </c>
      <c r="E1821" t="s">
        <v>798</v>
      </c>
      <c r="F1821" t="s">
        <v>21</v>
      </c>
      <c r="G1821">
        <v>2</v>
      </c>
      <c r="H1821">
        <v>118.91</v>
      </c>
      <c r="I1821">
        <v>-237820</v>
      </c>
      <c r="K1821">
        <v>118.91</v>
      </c>
      <c r="L1821">
        <v>-237820</v>
      </c>
      <c r="M1821" t="s">
        <v>797</v>
      </c>
      <c r="N1821" t="s">
        <v>796</v>
      </c>
    </row>
    <row r="1822" spans="1:14" x14ac:dyDescent="0.25">
      <c r="A1822" s="18">
        <v>46126</v>
      </c>
      <c r="B1822" t="s">
        <v>289</v>
      </c>
      <c r="C1822" t="s">
        <v>708</v>
      </c>
      <c r="D1822" t="s">
        <v>709</v>
      </c>
      <c r="E1822" t="s">
        <v>710</v>
      </c>
      <c r="F1822" t="s">
        <v>21</v>
      </c>
      <c r="G1822">
        <v>7590</v>
      </c>
      <c r="H1822">
        <v>19.413699999999999</v>
      </c>
      <c r="I1822">
        <v>-147349.98299999998</v>
      </c>
      <c r="K1822">
        <v>19.413699999999999</v>
      </c>
      <c r="L1822">
        <v>-147349.98299999998</v>
      </c>
      <c r="M1822" t="s">
        <v>709</v>
      </c>
      <c r="N1822" t="s">
        <v>708</v>
      </c>
    </row>
    <row r="1823" spans="1:14" x14ac:dyDescent="0.25">
      <c r="A1823" s="18">
        <v>46126</v>
      </c>
      <c r="B1823" t="s">
        <v>319</v>
      </c>
      <c r="C1823" t="s">
        <v>316</v>
      </c>
      <c r="D1823" t="s">
        <v>317</v>
      </c>
      <c r="E1823" t="s">
        <v>274</v>
      </c>
      <c r="F1823" t="s">
        <v>21</v>
      </c>
      <c r="G1823">
        <v>-2600</v>
      </c>
      <c r="H1823">
        <v>58.3508</v>
      </c>
      <c r="I1823">
        <v>151712.07999999999</v>
      </c>
      <c r="K1823">
        <v>58.350799999999992</v>
      </c>
      <c r="L1823">
        <v>151712.07999999999</v>
      </c>
      <c r="M1823" t="s">
        <v>317</v>
      </c>
      <c r="N1823" t="s">
        <v>316</v>
      </c>
    </row>
    <row r="1824" spans="1:14" x14ac:dyDescent="0.25">
      <c r="A1824" s="18">
        <v>46126</v>
      </c>
      <c r="B1824" t="s">
        <v>289</v>
      </c>
      <c r="C1824" t="s">
        <v>783</v>
      </c>
      <c r="D1824" t="s">
        <v>78</v>
      </c>
      <c r="E1824" t="s">
        <v>79</v>
      </c>
      <c r="F1824" t="s">
        <v>21</v>
      </c>
      <c r="G1824">
        <v>4400</v>
      </c>
      <c r="H1824">
        <v>35.141800000000003</v>
      </c>
      <c r="I1824">
        <v>-154623.92000000001</v>
      </c>
      <c r="K1824">
        <v>35.141800000000003</v>
      </c>
      <c r="L1824">
        <v>-154623.92000000001</v>
      </c>
      <c r="M1824" t="s">
        <v>78</v>
      </c>
      <c r="N1824" t="s">
        <v>783</v>
      </c>
    </row>
    <row r="1825" spans="1:14" x14ac:dyDescent="0.25">
      <c r="A1825" s="18">
        <v>46126</v>
      </c>
      <c r="B1825" t="s">
        <v>289</v>
      </c>
      <c r="C1825" t="s">
        <v>869</v>
      </c>
      <c r="D1825" t="s">
        <v>19</v>
      </c>
      <c r="E1825" t="s">
        <v>20</v>
      </c>
      <c r="F1825" t="s">
        <v>21</v>
      </c>
      <c r="G1825">
        <v>3800</v>
      </c>
      <c r="H1825">
        <v>40.009599999999999</v>
      </c>
      <c r="I1825">
        <v>-152036.48000000001</v>
      </c>
      <c r="K1825">
        <v>40.009600000000006</v>
      </c>
      <c r="L1825">
        <v>-152036.48000000001</v>
      </c>
      <c r="M1825" t="s">
        <v>19</v>
      </c>
      <c r="N1825" t="s">
        <v>869</v>
      </c>
    </row>
    <row r="1826" spans="1:14" x14ac:dyDescent="0.25">
      <c r="A1826" s="18">
        <v>46126</v>
      </c>
      <c r="B1826" t="s">
        <v>289</v>
      </c>
      <c r="C1826" t="s">
        <v>608</v>
      </c>
      <c r="D1826" t="s">
        <v>26</v>
      </c>
      <c r="E1826" t="s">
        <v>27</v>
      </c>
      <c r="F1826" t="s">
        <v>21</v>
      </c>
      <c r="G1826">
        <v>1100</v>
      </c>
      <c r="H1826">
        <v>281.53019999999998</v>
      </c>
      <c r="I1826">
        <v>-309683.21999999997</v>
      </c>
      <c r="K1826">
        <v>281.53019999999998</v>
      </c>
      <c r="L1826">
        <v>-309683.21999999997</v>
      </c>
      <c r="M1826" t="s">
        <v>26</v>
      </c>
      <c r="N1826" t="s">
        <v>608</v>
      </c>
    </row>
    <row r="1827" spans="1:14" x14ac:dyDescent="0.25">
      <c r="A1827" s="18">
        <v>46126</v>
      </c>
      <c r="B1827" t="s">
        <v>319</v>
      </c>
      <c r="C1827" t="s">
        <v>843</v>
      </c>
      <c r="D1827" t="s">
        <v>844</v>
      </c>
      <c r="E1827" t="s">
        <v>845</v>
      </c>
      <c r="F1827" t="s">
        <v>21</v>
      </c>
      <c r="G1827">
        <v>-3</v>
      </c>
      <c r="H1827">
        <v>5928</v>
      </c>
      <c r="I1827">
        <v>177840</v>
      </c>
      <c r="K1827">
        <v>5928</v>
      </c>
      <c r="L1827">
        <v>177840</v>
      </c>
      <c r="M1827" t="s">
        <v>844</v>
      </c>
      <c r="N1827" t="s">
        <v>843</v>
      </c>
    </row>
    <row r="1828" spans="1:14" x14ac:dyDescent="0.25">
      <c r="A1828" s="18">
        <v>46126</v>
      </c>
      <c r="B1828" t="s">
        <v>289</v>
      </c>
      <c r="C1828" t="s">
        <v>840</v>
      </c>
      <c r="D1828" t="s">
        <v>841</v>
      </c>
      <c r="E1828" t="s">
        <v>842</v>
      </c>
      <c r="F1828" t="s">
        <v>49</v>
      </c>
      <c r="G1828">
        <v>1</v>
      </c>
      <c r="H1828">
        <v>25828.75</v>
      </c>
      <c r="I1828">
        <v>-516575</v>
      </c>
      <c r="K1828">
        <v>25828.75</v>
      </c>
      <c r="L1828">
        <v>-516575</v>
      </c>
      <c r="M1828" t="s">
        <v>841</v>
      </c>
      <c r="N1828" t="s">
        <v>840</v>
      </c>
    </row>
    <row r="1829" spans="1:14" x14ac:dyDescent="0.25">
      <c r="A1829" s="18">
        <v>46126</v>
      </c>
      <c r="B1829" t="s">
        <v>319</v>
      </c>
      <c r="C1829" t="s">
        <v>350</v>
      </c>
      <c r="D1829" t="s">
        <v>351</v>
      </c>
      <c r="E1829" t="s">
        <v>352</v>
      </c>
      <c r="F1829" t="s">
        <v>21</v>
      </c>
      <c r="G1829">
        <v>-2600</v>
      </c>
      <c r="H1829">
        <v>58.8</v>
      </c>
      <c r="I1829">
        <v>152880</v>
      </c>
      <c r="K1829">
        <v>58.8</v>
      </c>
      <c r="L1829">
        <v>152880</v>
      </c>
      <c r="M1829" t="s">
        <v>351</v>
      </c>
      <c r="N1829" t="s">
        <v>350</v>
      </c>
    </row>
    <row r="1830" spans="1:14" x14ac:dyDescent="0.25">
      <c r="A1830" s="18">
        <v>46126</v>
      </c>
      <c r="B1830" t="s">
        <v>289</v>
      </c>
      <c r="C1830" t="s">
        <v>770</v>
      </c>
      <c r="D1830" t="s">
        <v>34</v>
      </c>
      <c r="E1830" t="s">
        <v>35</v>
      </c>
      <c r="F1830" t="s">
        <v>36</v>
      </c>
      <c r="G1830">
        <v>1750</v>
      </c>
      <c r="H1830">
        <v>72.94</v>
      </c>
      <c r="I1830">
        <v>-127645</v>
      </c>
      <c r="K1830">
        <v>72.94</v>
      </c>
      <c r="L1830">
        <v>-127645</v>
      </c>
      <c r="M1830" t="s">
        <v>34</v>
      </c>
      <c r="N1830" t="s">
        <v>770</v>
      </c>
    </row>
    <row r="1831" spans="1:14" x14ac:dyDescent="0.25">
      <c r="A1831" s="18">
        <v>46127</v>
      </c>
      <c r="B1831" t="s">
        <v>319</v>
      </c>
      <c r="C1831" t="s">
        <v>870</v>
      </c>
      <c r="D1831" t="s">
        <v>871</v>
      </c>
      <c r="E1831" t="s">
        <v>872</v>
      </c>
      <c r="F1831" t="s">
        <v>21</v>
      </c>
      <c r="G1831">
        <v>-13</v>
      </c>
      <c r="H1831">
        <v>8192.7999999999993</v>
      </c>
      <c r="I1831">
        <v>1065064</v>
      </c>
      <c r="K1831">
        <v>8192.7999999999993</v>
      </c>
      <c r="L1831">
        <v>1065064</v>
      </c>
      <c r="M1831" t="s">
        <v>871</v>
      </c>
      <c r="N1831" t="s">
        <v>870</v>
      </c>
    </row>
    <row r="1832" spans="1:14" x14ac:dyDescent="0.25">
      <c r="A1832" s="18">
        <v>46127</v>
      </c>
      <c r="B1832" t="s">
        <v>289</v>
      </c>
      <c r="C1832" t="s">
        <v>849</v>
      </c>
      <c r="D1832" t="s">
        <v>850</v>
      </c>
      <c r="E1832" t="s">
        <v>851</v>
      </c>
      <c r="F1832" t="s">
        <v>21</v>
      </c>
      <c r="G1832">
        <v>13</v>
      </c>
      <c r="H1832">
        <v>8285.2999999999993</v>
      </c>
      <c r="I1832">
        <v>-1077089</v>
      </c>
      <c r="K1832">
        <v>8285.2999999999993</v>
      </c>
      <c r="L1832">
        <v>-1077089</v>
      </c>
      <c r="M1832" t="s">
        <v>850</v>
      </c>
      <c r="N1832" t="s">
        <v>849</v>
      </c>
    </row>
    <row r="1833" spans="1:14" x14ac:dyDescent="0.25">
      <c r="A1833" s="18">
        <v>46127</v>
      </c>
      <c r="B1833" t="s">
        <v>319</v>
      </c>
      <c r="C1833" t="s">
        <v>708</v>
      </c>
      <c r="D1833" t="s">
        <v>709</v>
      </c>
      <c r="E1833" t="s">
        <v>710</v>
      </c>
      <c r="F1833" t="s">
        <v>21</v>
      </c>
      <c r="G1833">
        <v>-8000</v>
      </c>
      <c r="H1833">
        <v>19.457000000000001</v>
      </c>
      <c r="I1833">
        <v>155656</v>
      </c>
      <c r="K1833">
        <v>19.457000000000001</v>
      </c>
      <c r="L1833">
        <v>155656</v>
      </c>
      <c r="M1833" t="s">
        <v>709</v>
      </c>
      <c r="N1833" t="s">
        <v>708</v>
      </c>
    </row>
    <row r="1834" spans="1:14" x14ac:dyDescent="0.25">
      <c r="A1834" s="18">
        <v>46127</v>
      </c>
      <c r="B1834" t="s">
        <v>289</v>
      </c>
      <c r="C1834" t="s">
        <v>857</v>
      </c>
      <c r="D1834" t="s">
        <v>858</v>
      </c>
      <c r="E1834" t="s">
        <v>859</v>
      </c>
      <c r="F1834" t="s">
        <v>21</v>
      </c>
      <c r="G1834">
        <v>1359</v>
      </c>
      <c r="H1834">
        <v>77.566900000000004</v>
      </c>
      <c r="I1834">
        <v>-105413.41710000001</v>
      </c>
      <c r="K1834">
        <v>77.566900000000004</v>
      </c>
      <c r="L1834">
        <v>-105413.41710000001</v>
      </c>
      <c r="M1834" t="s">
        <v>858</v>
      </c>
      <c r="N1834" t="s">
        <v>857</v>
      </c>
    </row>
    <row r="1835" spans="1:14" x14ac:dyDescent="0.25">
      <c r="A1835" s="18">
        <v>46127</v>
      </c>
      <c r="B1835" t="s">
        <v>319</v>
      </c>
      <c r="C1835" t="s">
        <v>834</v>
      </c>
      <c r="D1835" t="s">
        <v>835</v>
      </c>
      <c r="E1835" t="s">
        <v>836</v>
      </c>
      <c r="F1835" t="s">
        <v>21</v>
      </c>
      <c r="G1835">
        <v>-6666</v>
      </c>
      <c r="H1835">
        <v>15.2159</v>
      </c>
      <c r="I1835">
        <v>101429.1894</v>
      </c>
      <c r="K1835">
        <v>15.215900000000001</v>
      </c>
      <c r="L1835">
        <v>101429.1894</v>
      </c>
      <c r="M1835" t="s">
        <v>835</v>
      </c>
      <c r="N1835" t="s">
        <v>834</v>
      </c>
    </row>
    <row r="1836" spans="1:14" x14ac:dyDescent="0.25">
      <c r="A1836" s="18">
        <v>46127</v>
      </c>
      <c r="B1836" t="s">
        <v>319</v>
      </c>
      <c r="C1836" t="s">
        <v>744</v>
      </c>
      <c r="D1836" t="s">
        <v>56</v>
      </c>
      <c r="E1836" t="s">
        <v>745</v>
      </c>
      <c r="F1836" t="s">
        <v>21</v>
      </c>
      <c r="G1836">
        <v>-5000</v>
      </c>
      <c r="H1836">
        <v>30.084099999999999</v>
      </c>
      <c r="I1836">
        <v>150420.5</v>
      </c>
      <c r="K1836">
        <v>30.084099999999999</v>
      </c>
      <c r="L1836">
        <v>150420.5</v>
      </c>
      <c r="M1836" t="s">
        <v>56</v>
      </c>
      <c r="N1836" t="s">
        <v>744</v>
      </c>
    </row>
    <row r="1837" spans="1:14" x14ac:dyDescent="0.25">
      <c r="A1837" s="18">
        <v>46127</v>
      </c>
      <c r="B1837" t="s">
        <v>319</v>
      </c>
      <c r="C1837" t="s">
        <v>834</v>
      </c>
      <c r="D1837" t="s">
        <v>835</v>
      </c>
      <c r="E1837" t="s">
        <v>836</v>
      </c>
      <c r="F1837" t="s">
        <v>21</v>
      </c>
      <c r="G1837">
        <v>-15884</v>
      </c>
      <c r="H1837">
        <v>15.21</v>
      </c>
      <c r="I1837">
        <v>241595.64</v>
      </c>
      <c r="K1837">
        <v>15.21</v>
      </c>
      <c r="L1837">
        <v>241595.64</v>
      </c>
      <c r="M1837" t="s">
        <v>835</v>
      </c>
      <c r="N1837" t="s">
        <v>834</v>
      </c>
    </row>
    <row r="1838" spans="1:14" x14ac:dyDescent="0.25">
      <c r="A1838" s="18">
        <v>46127</v>
      </c>
      <c r="B1838" t="s">
        <v>319</v>
      </c>
      <c r="C1838" t="s">
        <v>742</v>
      </c>
      <c r="D1838" t="s">
        <v>50</v>
      </c>
      <c r="E1838" t="s">
        <v>743</v>
      </c>
      <c r="F1838" t="s">
        <v>21</v>
      </c>
      <c r="G1838">
        <v>-12500</v>
      </c>
      <c r="H1838">
        <v>12.339</v>
      </c>
      <c r="I1838">
        <v>154237.5</v>
      </c>
      <c r="K1838">
        <v>12.339</v>
      </c>
      <c r="L1838">
        <v>154237.5</v>
      </c>
      <c r="M1838" t="s">
        <v>50</v>
      </c>
      <c r="N1838" t="s">
        <v>742</v>
      </c>
    </row>
    <row r="1839" spans="1:14" x14ac:dyDescent="0.25">
      <c r="A1839" s="18">
        <v>46128</v>
      </c>
      <c r="B1839" t="s">
        <v>319</v>
      </c>
      <c r="C1839" t="s">
        <v>825</v>
      </c>
      <c r="D1839" t="s">
        <v>826</v>
      </c>
      <c r="E1839" t="s">
        <v>827</v>
      </c>
      <c r="F1839" t="s">
        <v>21</v>
      </c>
      <c r="G1839">
        <v>-741</v>
      </c>
      <c r="H1839">
        <v>35.43</v>
      </c>
      <c r="I1839">
        <v>26253.63</v>
      </c>
      <c r="K1839">
        <v>35.43</v>
      </c>
      <c r="L1839">
        <v>26253.63</v>
      </c>
      <c r="M1839" t="s">
        <v>826</v>
      </c>
      <c r="N1839" t="s">
        <v>825</v>
      </c>
    </row>
    <row r="1840" spans="1:14" x14ac:dyDescent="0.25">
      <c r="A1840" s="18">
        <v>46128</v>
      </c>
      <c r="B1840" t="s">
        <v>319</v>
      </c>
      <c r="C1840" t="s">
        <v>350</v>
      </c>
      <c r="D1840" t="s">
        <v>351</v>
      </c>
      <c r="E1840" t="s">
        <v>352</v>
      </c>
      <c r="F1840" t="s">
        <v>21</v>
      </c>
      <c r="G1840">
        <v>-2500</v>
      </c>
      <c r="H1840">
        <v>58.04</v>
      </c>
      <c r="I1840">
        <v>145100</v>
      </c>
      <c r="K1840">
        <v>58.04</v>
      </c>
      <c r="L1840">
        <v>145100</v>
      </c>
      <c r="M1840" t="s">
        <v>351</v>
      </c>
      <c r="N1840" t="s">
        <v>350</v>
      </c>
    </row>
    <row r="1841" spans="1:14" x14ac:dyDescent="0.25">
      <c r="A1841" s="18">
        <v>46128</v>
      </c>
      <c r="B1841" t="s">
        <v>289</v>
      </c>
      <c r="C1841" t="s">
        <v>424</v>
      </c>
      <c r="D1841" t="s">
        <v>41</v>
      </c>
      <c r="E1841" t="s">
        <v>42</v>
      </c>
      <c r="F1841" t="s">
        <v>36</v>
      </c>
      <c r="G1841">
        <v>10000</v>
      </c>
      <c r="H1841">
        <v>12.5144</v>
      </c>
      <c r="I1841">
        <v>-125144</v>
      </c>
      <c r="K1841">
        <v>12.5144</v>
      </c>
      <c r="L1841">
        <v>-125144</v>
      </c>
      <c r="M1841" t="s">
        <v>41</v>
      </c>
      <c r="N1841" t="s">
        <v>424</v>
      </c>
    </row>
    <row r="1842" spans="1:14" x14ac:dyDescent="0.25">
      <c r="A1842" s="18">
        <v>46128</v>
      </c>
      <c r="B1842" t="s">
        <v>319</v>
      </c>
      <c r="C1842" t="s">
        <v>857</v>
      </c>
      <c r="D1842" t="s">
        <v>858</v>
      </c>
      <c r="E1842" t="s">
        <v>859</v>
      </c>
      <c r="F1842" t="s">
        <v>21</v>
      </c>
      <c r="G1842">
        <v>-1359</v>
      </c>
      <c r="H1842">
        <v>85.768199999999993</v>
      </c>
      <c r="I1842">
        <v>116558.98379999999</v>
      </c>
      <c r="K1842">
        <v>85.768199999999993</v>
      </c>
      <c r="L1842">
        <v>116558.98379999999</v>
      </c>
      <c r="M1842" t="s">
        <v>858</v>
      </c>
      <c r="N1842" t="s">
        <v>857</v>
      </c>
    </row>
    <row r="1843" spans="1:14" x14ac:dyDescent="0.25">
      <c r="A1843" s="18">
        <v>46128</v>
      </c>
      <c r="B1843" t="s">
        <v>289</v>
      </c>
      <c r="C1843" t="s">
        <v>314</v>
      </c>
      <c r="D1843" t="s">
        <v>315</v>
      </c>
      <c r="E1843" t="s">
        <v>362</v>
      </c>
      <c r="F1843" t="s">
        <v>21</v>
      </c>
      <c r="G1843">
        <v>3950</v>
      </c>
      <c r="H1843">
        <v>23.96</v>
      </c>
      <c r="I1843">
        <v>-94642</v>
      </c>
      <c r="K1843">
        <v>23.96</v>
      </c>
      <c r="L1843">
        <v>-94642</v>
      </c>
      <c r="M1843" t="s">
        <v>315</v>
      </c>
      <c r="N1843" t="s">
        <v>314</v>
      </c>
    </row>
    <row r="1844" spans="1:14" x14ac:dyDescent="0.25">
      <c r="A1844" s="18">
        <v>46128</v>
      </c>
      <c r="B1844" t="s">
        <v>319</v>
      </c>
      <c r="C1844" t="s">
        <v>450</v>
      </c>
      <c r="D1844" t="s">
        <v>116</v>
      </c>
      <c r="E1844" t="s">
        <v>451</v>
      </c>
      <c r="F1844" t="s">
        <v>21</v>
      </c>
      <c r="G1844">
        <v>-30000</v>
      </c>
      <c r="H1844">
        <v>6</v>
      </c>
      <c r="I1844">
        <v>180000</v>
      </c>
      <c r="K1844">
        <v>6</v>
      </c>
      <c r="L1844">
        <v>180000</v>
      </c>
      <c r="M1844" t="s">
        <v>116</v>
      </c>
      <c r="N1844" t="s">
        <v>450</v>
      </c>
    </row>
    <row r="1845" spans="1:14" x14ac:dyDescent="0.25">
      <c r="A1845" s="18">
        <v>46129</v>
      </c>
      <c r="B1845" t="s">
        <v>319</v>
      </c>
      <c r="C1845" t="s">
        <v>350</v>
      </c>
      <c r="D1845" t="s">
        <v>351</v>
      </c>
      <c r="E1845" t="s">
        <v>352</v>
      </c>
      <c r="F1845" t="s">
        <v>21</v>
      </c>
      <c r="G1845">
        <v>-2499</v>
      </c>
      <c r="H1845">
        <v>57.34</v>
      </c>
      <c r="I1845">
        <v>143292.66</v>
      </c>
      <c r="K1845">
        <v>57.34</v>
      </c>
      <c r="L1845">
        <v>143292.66</v>
      </c>
      <c r="M1845" t="s">
        <v>351</v>
      </c>
      <c r="N1845" t="s">
        <v>350</v>
      </c>
    </row>
    <row r="1846" spans="1:14" x14ac:dyDescent="0.25">
      <c r="A1846" s="18">
        <v>46129</v>
      </c>
      <c r="B1846" t="s">
        <v>289</v>
      </c>
      <c r="C1846" t="s">
        <v>633</v>
      </c>
      <c r="D1846" t="s">
        <v>634</v>
      </c>
      <c r="E1846" t="s">
        <v>281</v>
      </c>
      <c r="F1846" t="s">
        <v>21</v>
      </c>
      <c r="G1846">
        <v>2690</v>
      </c>
      <c r="H1846">
        <v>52.139899999999997</v>
      </c>
      <c r="I1846">
        <v>-140256.33100000001</v>
      </c>
      <c r="K1846">
        <v>52.139900000000004</v>
      </c>
      <c r="L1846">
        <v>-140256.33100000001</v>
      </c>
      <c r="M1846" t="s">
        <v>634</v>
      </c>
      <c r="N1846" t="s">
        <v>633</v>
      </c>
    </row>
    <row r="1847" spans="1:14" x14ac:dyDescent="0.25">
      <c r="A1847" s="18">
        <v>46129</v>
      </c>
      <c r="B1847" t="s">
        <v>289</v>
      </c>
      <c r="C1847" t="s">
        <v>764</v>
      </c>
      <c r="D1847" t="s">
        <v>765</v>
      </c>
      <c r="E1847" t="s">
        <v>766</v>
      </c>
      <c r="F1847" t="s">
        <v>36</v>
      </c>
      <c r="G1847">
        <v>2300</v>
      </c>
      <c r="H1847">
        <v>36.994999999999997</v>
      </c>
      <c r="I1847">
        <v>-85088.5</v>
      </c>
      <c r="K1847">
        <v>36.994999999999997</v>
      </c>
      <c r="L1847">
        <v>-85088.5</v>
      </c>
      <c r="M1847" t="s">
        <v>765</v>
      </c>
      <c r="N1847" t="s">
        <v>764</v>
      </c>
    </row>
    <row r="1848" spans="1:14" x14ac:dyDescent="0.25">
      <c r="A1848" s="18">
        <v>46129</v>
      </c>
      <c r="B1848" t="s">
        <v>319</v>
      </c>
      <c r="C1848" t="s">
        <v>771</v>
      </c>
      <c r="D1848" t="s">
        <v>89</v>
      </c>
      <c r="E1848" t="s">
        <v>90</v>
      </c>
      <c r="F1848" t="s">
        <v>21</v>
      </c>
      <c r="G1848">
        <v>-1000</v>
      </c>
      <c r="H1848">
        <v>107.65</v>
      </c>
      <c r="I1848">
        <v>107650</v>
      </c>
      <c r="K1848">
        <v>107.65</v>
      </c>
      <c r="L1848">
        <v>107650</v>
      </c>
      <c r="M1848" t="s">
        <v>89</v>
      </c>
      <c r="N1848" t="s">
        <v>771</v>
      </c>
    </row>
    <row r="1849" spans="1:14" x14ac:dyDescent="0.25">
      <c r="A1849" s="18">
        <v>46129</v>
      </c>
      <c r="B1849" t="s">
        <v>319</v>
      </c>
      <c r="C1849" t="s">
        <v>708</v>
      </c>
      <c r="D1849" t="s">
        <v>709</v>
      </c>
      <c r="E1849" t="s">
        <v>710</v>
      </c>
      <c r="F1849" t="s">
        <v>21</v>
      </c>
      <c r="G1849">
        <v>-8000</v>
      </c>
      <c r="H1849">
        <v>19.433199999999999</v>
      </c>
      <c r="I1849">
        <v>155465.60000000001</v>
      </c>
      <c r="K1849">
        <v>19.433199999999999</v>
      </c>
      <c r="L1849">
        <v>155465.60000000001</v>
      </c>
      <c r="M1849" t="s">
        <v>709</v>
      </c>
      <c r="N1849" t="s">
        <v>708</v>
      </c>
    </row>
    <row r="1850" spans="1:14" x14ac:dyDescent="0.25">
      <c r="A1850" s="18">
        <v>46129</v>
      </c>
      <c r="B1850" t="s">
        <v>289</v>
      </c>
      <c r="C1850" t="s">
        <v>869</v>
      </c>
      <c r="D1850" t="s">
        <v>19</v>
      </c>
      <c r="E1850" t="s">
        <v>20</v>
      </c>
      <c r="F1850" t="s">
        <v>21</v>
      </c>
      <c r="G1850">
        <v>3600</v>
      </c>
      <c r="H1850">
        <v>40.9</v>
      </c>
      <c r="I1850">
        <v>-147240</v>
      </c>
      <c r="K1850">
        <v>40.9</v>
      </c>
      <c r="L1850">
        <v>-147240</v>
      </c>
      <c r="M1850" t="s">
        <v>19</v>
      </c>
      <c r="N1850" t="s">
        <v>869</v>
      </c>
    </row>
    <row r="1851" spans="1:14" x14ac:dyDescent="0.25">
      <c r="A1851" s="18">
        <v>46129</v>
      </c>
      <c r="B1851" t="s">
        <v>319</v>
      </c>
      <c r="C1851" t="s">
        <v>831</v>
      </c>
      <c r="D1851" t="s">
        <v>832</v>
      </c>
      <c r="E1851" t="s">
        <v>873</v>
      </c>
      <c r="F1851" t="s">
        <v>82</v>
      </c>
      <c r="G1851">
        <v>-564</v>
      </c>
      <c r="H1851">
        <v>316.7</v>
      </c>
      <c r="I1851">
        <v>178618.8</v>
      </c>
      <c r="K1851">
        <v>316.7</v>
      </c>
      <c r="L1851">
        <v>178618.8</v>
      </c>
      <c r="M1851" t="s">
        <v>832</v>
      </c>
      <c r="N1851" t="s">
        <v>831</v>
      </c>
    </row>
    <row r="1852" spans="1:14" x14ac:dyDescent="0.25">
      <c r="A1852" s="18">
        <v>46129</v>
      </c>
      <c r="B1852" t="s">
        <v>289</v>
      </c>
      <c r="C1852" t="s">
        <v>852</v>
      </c>
      <c r="D1852" t="s">
        <v>54</v>
      </c>
      <c r="E1852" t="s">
        <v>55</v>
      </c>
      <c r="F1852" t="s">
        <v>21</v>
      </c>
      <c r="G1852">
        <v>29100</v>
      </c>
      <c r="H1852">
        <v>3.891</v>
      </c>
      <c r="I1852">
        <v>-113228.1</v>
      </c>
      <c r="K1852">
        <v>3.891</v>
      </c>
      <c r="L1852">
        <v>-113228.1</v>
      </c>
      <c r="M1852" t="s">
        <v>54</v>
      </c>
      <c r="N1852" t="s">
        <v>852</v>
      </c>
    </row>
    <row r="1853" spans="1:14" x14ac:dyDescent="0.25">
      <c r="A1853" s="18">
        <v>46129</v>
      </c>
      <c r="B1853" t="s">
        <v>319</v>
      </c>
      <c r="C1853" t="s">
        <v>783</v>
      </c>
      <c r="D1853" t="s">
        <v>78</v>
      </c>
      <c r="E1853" t="s">
        <v>79</v>
      </c>
      <c r="F1853" t="s">
        <v>21</v>
      </c>
      <c r="G1853">
        <v>-3900</v>
      </c>
      <c r="H1853">
        <v>34.340000000000003</v>
      </c>
      <c r="I1853">
        <v>133926</v>
      </c>
      <c r="K1853">
        <v>34.340000000000003</v>
      </c>
      <c r="L1853">
        <v>133926</v>
      </c>
      <c r="M1853" t="s">
        <v>78</v>
      </c>
      <c r="N1853" t="s">
        <v>783</v>
      </c>
    </row>
    <row r="1854" spans="1:14" x14ac:dyDescent="0.25">
      <c r="A1854" s="18">
        <v>46129</v>
      </c>
      <c r="B1854" t="s">
        <v>319</v>
      </c>
      <c r="C1854" t="s">
        <v>861</v>
      </c>
      <c r="D1854" t="s">
        <v>862</v>
      </c>
      <c r="E1854" t="s">
        <v>278</v>
      </c>
      <c r="F1854" t="s">
        <v>21</v>
      </c>
      <c r="G1854">
        <v>-493</v>
      </c>
      <c r="H1854">
        <v>75</v>
      </c>
      <c r="I1854">
        <v>36975</v>
      </c>
      <c r="K1854">
        <v>75</v>
      </c>
      <c r="L1854">
        <v>36975</v>
      </c>
      <c r="M1854" t="s">
        <v>862</v>
      </c>
      <c r="N1854" t="s">
        <v>861</v>
      </c>
    </row>
    <row r="1855" spans="1:14" x14ac:dyDescent="0.25">
      <c r="A1855" s="18">
        <v>46132</v>
      </c>
      <c r="B1855" t="s">
        <v>319</v>
      </c>
      <c r="C1855" t="s">
        <v>861</v>
      </c>
      <c r="D1855" t="s">
        <v>862</v>
      </c>
      <c r="E1855" t="s">
        <v>278</v>
      </c>
      <c r="F1855" t="s">
        <v>21</v>
      </c>
      <c r="G1855">
        <v>-925</v>
      </c>
      <c r="H1855">
        <v>76.012200000000007</v>
      </c>
      <c r="I1855">
        <v>70311.285000000003</v>
      </c>
      <c r="K1855">
        <v>76.012200000000007</v>
      </c>
      <c r="L1855">
        <v>70311.285000000003</v>
      </c>
      <c r="M1855" t="s">
        <v>862</v>
      </c>
      <c r="N1855" t="s">
        <v>861</v>
      </c>
    </row>
    <row r="1856" spans="1:14" x14ac:dyDescent="0.25">
      <c r="A1856" s="18">
        <v>46132</v>
      </c>
      <c r="B1856" t="s">
        <v>319</v>
      </c>
      <c r="C1856" t="s">
        <v>744</v>
      </c>
      <c r="D1856" t="s">
        <v>56</v>
      </c>
      <c r="E1856" t="s">
        <v>745</v>
      </c>
      <c r="F1856" t="s">
        <v>21</v>
      </c>
      <c r="G1856">
        <v>-3400</v>
      </c>
      <c r="H1856">
        <v>30.238600000000002</v>
      </c>
      <c r="I1856">
        <v>102811.24</v>
      </c>
      <c r="K1856">
        <v>30.238600000000002</v>
      </c>
      <c r="L1856">
        <v>102811.24</v>
      </c>
      <c r="M1856" t="s">
        <v>56</v>
      </c>
      <c r="N1856" t="s">
        <v>744</v>
      </c>
    </row>
    <row r="1857" spans="1:14" x14ac:dyDescent="0.25">
      <c r="A1857" s="18">
        <v>46132</v>
      </c>
      <c r="B1857" t="s">
        <v>289</v>
      </c>
      <c r="C1857" t="s">
        <v>318</v>
      </c>
      <c r="D1857" t="s">
        <v>22</v>
      </c>
      <c r="E1857" t="s">
        <v>23</v>
      </c>
      <c r="F1857" t="s">
        <v>21</v>
      </c>
      <c r="G1857">
        <v>2200</v>
      </c>
      <c r="H1857">
        <v>22.44</v>
      </c>
      <c r="I1857">
        <v>-49368</v>
      </c>
      <c r="K1857">
        <v>22.44</v>
      </c>
      <c r="L1857">
        <v>-49368</v>
      </c>
      <c r="M1857" t="s">
        <v>22</v>
      </c>
      <c r="N1857" t="s">
        <v>318</v>
      </c>
    </row>
    <row r="1858" spans="1:14" x14ac:dyDescent="0.25">
      <c r="A1858" s="18">
        <v>46132</v>
      </c>
      <c r="B1858" t="s">
        <v>289</v>
      </c>
      <c r="C1858" t="s">
        <v>843</v>
      </c>
      <c r="D1858" t="s">
        <v>844</v>
      </c>
      <c r="E1858" t="s">
        <v>845</v>
      </c>
      <c r="F1858" t="s">
        <v>21</v>
      </c>
      <c r="G1858">
        <v>4</v>
      </c>
      <c r="H1858">
        <v>5925</v>
      </c>
      <c r="I1858">
        <v>-237000</v>
      </c>
      <c r="K1858">
        <v>5925</v>
      </c>
      <c r="L1858">
        <v>-237000</v>
      </c>
      <c r="M1858" t="s">
        <v>844</v>
      </c>
      <c r="N1858" t="s">
        <v>843</v>
      </c>
    </row>
    <row r="1859" spans="1:14" x14ac:dyDescent="0.25">
      <c r="A1859" s="18">
        <v>46132</v>
      </c>
      <c r="B1859" t="s">
        <v>289</v>
      </c>
      <c r="C1859" t="s">
        <v>764</v>
      </c>
      <c r="D1859" t="s">
        <v>765</v>
      </c>
      <c r="E1859" t="s">
        <v>766</v>
      </c>
      <c r="F1859" t="s">
        <v>36</v>
      </c>
      <c r="G1859">
        <v>1100</v>
      </c>
      <c r="H1859">
        <v>37.8217</v>
      </c>
      <c r="I1859">
        <v>-41603.870000000003</v>
      </c>
      <c r="K1859">
        <v>37.8217</v>
      </c>
      <c r="L1859">
        <v>-41603.870000000003</v>
      </c>
      <c r="M1859" t="s">
        <v>765</v>
      </c>
      <c r="N1859" t="s">
        <v>764</v>
      </c>
    </row>
    <row r="1860" spans="1:14" x14ac:dyDescent="0.25">
      <c r="A1860" s="18">
        <v>46132</v>
      </c>
      <c r="B1860" t="s">
        <v>319</v>
      </c>
      <c r="C1860" t="s">
        <v>852</v>
      </c>
      <c r="D1860" t="s">
        <v>54</v>
      </c>
      <c r="E1860" t="s">
        <v>55</v>
      </c>
      <c r="F1860" t="s">
        <v>21</v>
      </c>
      <c r="G1860">
        <v>-25880</v>
      </c>
      <c r="H1860">
        <v>3.9556</v>
      </c>
      <c r="I1860">
        <v>102370.928</v>
      </c>
      <c r="K1860">
        <v>3.9556</v>
      </c>
      <c r="L1860">
        <v>102370.928</v>
      </c>
      <c r="M1860" t="s">
        <v>54</v>
      </c>
      <c r="N1860" t="s">
        <v>852</v>
      </c>
    </row>
    <row r="1861" spans="1:14" x14ac:dyDescent="0.25">
      <c r="A1861" s="18">
        <v>46132</v>
      </c>
      <c r="B1861" t="s">
        <v>319</v>
      </c>
      <c r="C1861" t="s">
        <v>314</v>
      </c>
      <c r="D1861" t="s">
        <v>315</v>
      </c>
      <c r="E1861" t="s">
        <v>362</v>
      </c>
      <c r="F1861" t="s">
        <v>21</v>
      </c>
      <c r="G1861">
        <v>-6000</v>
      </c>
      <c r="H1861">
        <v>24.6814</v>
      </c>
      <c r="I1861">
        <v>148088.4</v>
      </c>
      <c r="K1861">
        <v>24.6814</v>
      </c>
      <c r="L1861">
        <v>148088.4</v>
      </c>
      <c r="M1861" t="s">
        <v>315</v>
      </c>
      <c r="N1861" t="s">
        <v>314</v>
      </c>
    </row>
    <row r="1862" spans="1:14" x14ac:dyDescent="0.25">
      <c r="A1862" s="18">
        <v>46132</v>
      </c>
      <c r="B1862" t="s">
        <v>289</v>
      </c>
      <c r="C1862" t="s">
        <v>424</v>
      </c>
      <c r="D1862" t="s">
        <v>41</v>
      </c>
      <c r="E1862" t="s">
        <v>42</v>
      </c>
      <c r="F1862" t="s">
        <v>36</v>
      </c>
      <c r="G1862">
        <v>10000</v>
      </c>
      <c r="H1862">
        <v>12.693</v>
      </c>
      <c r="I1862">
        <v>-126930</v>
      </c>
      <c r="K1862">
        <v>12.693</v>
      </c>
      <c r="L1862">
        <v>-126930</v>
      </c>
      <c r="M1862" t="s">
        <v>41</v>
      </c>
      <c r="N1862" t="s">
        <v>424</v>
      </c>
    </row>
    <row r="1863" spans="1:14" x14ac:dyDescent="0.25">
      <c r="A1863" s="18">
        <v>46132</v>
      </c>
      <c r="B1863" t="s">
        <v>319</v>
      </c>
      <c r="C1863" t="s">
        <v>619</v>
      </c>
      <c r="D1863" t="s">
        <v>620</v>
      </c>
      <c r="E1863" t="s">
        <v>621</v>
      </c>
      <c r="F1863" t="s">
        <v>21</v>
      </c>
      <c r="G1863">
        <v>-710</v>
      </c>
      <c r="H1863">
        <v>208.78919999999999</v>
      </c>
      <c r="I1863">
        <v>148240.33199999999</v>
      </c>
      <c r="K1863">
        <v>208.78919999999999</v>
      </c>
      <c r="L1863">
        <v>148240.33199999999</v>
      </c>
      <c r="M1863" t="s">
        <v>620</v>
      </c>
      <c r="N1863" t="s">
        <v>619</v>
      </c>
    </row>
    <row r="1864" spans="1:14" x14ac:dyDescent="0.25">
      <c r="A1864" s="18">
        <v>46132</v>
      </c>
      <c r="B1864" t="s">
        <v>319</v>
      </c>
      <c r="C1864" t="s">
        <v>742</v>
      </c>
      <c r="D1864" t="s">
        <v>50</v>
      </c>
      <c r="E1864" t="s">
        <v>743</v>
      </c>
      <c r="F1864" t="s">
        <v>21</v>
      </c>
      <c r="G1864">
        <v>-11300</v>
      </c>
      <c r="H1864">
        <v>12.23</v>
      </c>
      <c r="I1864">
        <v>138199</v>
      </c>
      <c r="K1864">
        <v>12.23</v>
      </c>
      <c r="L1864">
        <v>138199</v>
      </c>
      <c r="M1864" t="s">
        <v>50</v>
      </c>
      <c r="N1864" t="s">
        <v>742</v>
      </c>
    </row>
    <row r="1865" spans="1:14" x14ac:dyDescent="0.25">
      <c r="A1865" s="18">
        <v>46132</v>
      </c>
      <c r="B1865" t="s">
        <v>289</v>
      </c>
      <c r="C1865" t="s">
        <v>843</v>
      </c>
      <c r="D1865" t="s">
        <v>844</v>
      </c>
      <c r="E1865" t="s">
        <v>845</v>
      </c>
      <c r="F1865" t="s">
        <v>21</v>
      </c>
      <c r="G1865">
        <v>2</v>
      </c>
      <c r="H1865">
        <v>5919</v>
      </c>
      <c r="I1865">
        <v>-118380</v>
      </c>
      <c r="K1865">
        <v>5919</v>
      </c>
      <c r="L1865">
        <v>-118380</v>
      </c>
      <c r="M1865" t="s">
        <v>844</v>
      </c>
      <c r="N1865" t="s">
        <v>843</v>
      </c>
    </row>
    <row r="1866" spans="1:14" x14ac:dyDescent="0.25">
      <c r="A1866" s="18">
        <v>46132</v>
      </c>
      <c r="B1866" t="s">
        <v>289</v>
      </c>
      <c r="C1866" t="s">
        <v>870</v>
      </c>
      <c r="D1866" t="s">
        <v>871</v>
      </c>
      <c r="E1866" t="s">
        <v>872</v>
      </c>
      <c r="F1866" t="s">
        <v>21</v>
      </c>
      <c r="G1866">
        <v>1</v>
      </c>
      <c r="H1866">
        <v>8235</v>
      </c>
      <c r="I1866">
        <v>-82350</v>
      </c>
      <c r="K1866">
        <v>8235</v>
      </c>
      <c r="L1866">
        <v>-82350</v>
      </c>
      <c r="M1866" t="s">
        <v>871</v>
      </c>
      <c r="N1866" t="s">
        <v>870</v>
      </c>
    </row>
    <row r="1867" spans="1:14" x14ac:dyDescent="0.25">
      <c r="A1867" s="18">
        <v>46132</v>
      </c>
      <c r="B1867" t="s">
        <v>319</v>
      </c>
      <c r="C1867" t="s">
        <v>477</v>
      </c>
      <c r="D1867" t="s">
        <v>478</v>
      </c>
      <c r="E1867" t="s">
        <v>277</v>
      </c>
      <c r="F1867" t="s">
        <v>157</v>
      </c>
      <c r="G1867">
        <v>-5000</v>
      </c>
      <c r="H1867">
        <v>192.4016</v>
      </c>
      <c r="I1867">
        <v>962008</v>
      </c>
      <c r="K1867">
        <v>192.4016</v>
      </c>
      <c r="L1867">
        <v>962008</v>
      </c>
      <c r="M1867" t="s">
        <v>478</v>
      </c>
      <c r="N1867" t="s">
        <v>477</v>
      </c>
    </row>
    <row r="1868" spans="1:14" x14ac:dyDescent="0.25">
      <c r="A1868" s="18">
        <v>46132</v>
      </c>
      <c r="B1868" t="s">
        <v>319</v>
      </c>
      <c r="C1868" t="s">
        <v>290</v>
      </c>
      <c r="D1868" t="s">
        <v>45</v>
      </c>
      <c r="E1868" t="s">
        <v>46</v>
      </c>
      <c r="F1868" t="s">
        <v>21</v>
      </c>
      <c r="G1868">
        <v>-2600</v>
      </c>
      <c r="H1868">
        <v>47.314999999999998</v>
      </c>
      <c r="I1868">
        <v>123019</v>
      </c>
      <c r="K1868">
        <v>47.314999999999998</v>
      </c>
      <c r="L1868">
        <v>123019</v>
      </c>
      <c r="M1868" t="s">
        <v>45</v>
      </c>
      <c r="N1868" t="s">
        <v>290</v>
      </c>
    </row>
    <row r="1869" spans="1:14" x14ac:dyDescent="0.25">
      <c r="A1869" s="18">
        <v>46133</v>
      </c>
      <c r="B1869" t="s">
        <v>319</v>
      </c>
      <c r="C1869" t="s">
        <v>784</v>
      </c>
      <c r="D1869" t="s">
        <v>58</v>
      </c>
      <c r="E1869" t="s">
        <v>59</v>
      </c>
      <c r="F1869" t="s">
        <v>21</v>
      </c>
      <c r="G1869">
        <v>-2550</v>
      </c>
      <c r="H1869">
        <v>39.469499999999996</v>
      </c>
      <c r="I1869">
        <v>100647.22499999999</v>
      </c>
      <c r="K1869">
        <v>39.469499999999996</v>
      </c>
      <c r="L1869">
        <v>100647.22499999999</v>
      </c>
      <c r="M1869" t="s">
        <v>58</v>
      </c>
      <c r="N1869" t="s">
        <v>784</v>
      </c>
    </row>
    <row r="1870" spans="1:14" x14ac:dyDescent="0.25">
      <c r="A1870" s="18">
        <v>46133</v>
      </c>
      <c r="B1870" t="s">
        <v>289</v>
      </c>
      <c r="C1870" t="s">
        <v>843</v>
      </c>
      <c r="D1870" t="s">
        <v>844</v>
      </c>
      <c r="E1870" t="s">
        <v>845</v>
      </c>
      <c r="F1870" t="s">
        <v>21</v>
      </c>
      <c r="G1870">
        <v>1</v>
      </c>
      <c r="H1870">
        <v>5909</v>
      </c>
      <c r="I1870">
        <v>-59090</v>
      </c>
      <c r="K1870">
        <v>5909</v>
      </c>
      <c r="L1870">
        <v>-59090</v>
      </c>
      <c r="M1870" t="s">
        <v>844</v>
      </c>
      <c r="N1870" t="s">
        <v>843</v>
      </c>
    </row>
    <row r="1871" spans="1:14" x14ac:dyDescent="0.25">
      <c r="A1871" s="18">
        <v>46133</v>
      </c>
      <c r="B1871" t="s">
        <v>319</v>
      </c>
      <c r="C1871" t="s">
        <v>739</v>
      </c>
      <c r="D1871" t="s">
        <v>740</v>
      </c>
      <c r="E1871" t="s">
        <v>741</v>
      </c>
      <c r="F1871" t="s">
        <v>49</v>
      </c>
      <c r="G1871">
        <v>-325</v>
      </c>
      <c r="H1871">
        <v>367.78559999999999</v>
      </c>
      <c r="I1871">
        <v>119530.31999999999</v>
      </c>
      <c r="K1871">
        <v>367.78559999999999</v>
      </c>
      <c r="L1871">
        <v>119530.31999999999</v>
      </c>
      <c r="M1871" t="s">
        <v>740</v>
      </c>
      <c r="N1871" t="s">
        <v>739</v>
      </c>
    </row>
    <row r="1872" spans="1:14" x14ac:dyDescent="0.25">
      <c r="A1872" s="18">
        <v>46133</v>
      </c>
      <c r="B1872" t="s">
        <v>319</v>
      </c>
      <c r="C1872" t="s">
        <v>660</v>
      </c>
      <c r="D1872" t="s">
        <v>62</v>
      </c>
      <c r="E1872" t="s">
        <v>63</v>
      </c>
      <c r="F1872" t="s">
        <v>49</v>
      </c>
      <c r="G1872">
        <v>-353</v>
      </c>
      <c r="H1872">
        <v>335.5</v>
      </c>
      <c r="I1872">
        <v>118431.5</v>
      </c>
      <c r="K1872">
        <v>335.5</v>
      </c>
      <c r="L1872">
        <v>118431.5</v>
      </c>
      <c r="M1872" t="s">
        <v>62</v>
      </c>
      <c r="N1872" t="s">
        <v>660</v>
      </c>
    </row>
    <row r="1873" spans="1:14" x14ac:dyDescent="0.25">
      <c r="A1873" s="18">
        <v>46133</v>
      </c>
      <c r="B1873" t="s">
        <v>319</v>
      </c>
      <c r="C1873" t="s">
        <v>792</v>
      </c>
      <c r="D1873" t="s">
        <v>106</v>
      </c>
      <c r="E1873" t="s">
        <v>793</v>
      </c>
      <c r="F1873" t="s">
        <v>21</v>
      </c>
      <c r="G1873">
        <v>-4500</v>
      </c>
      <c r="H1873">
        <v>22.2744</v>
      </c>
      <c r="I1873">
        <v>100234.8</v>
      </c>
      <c r="K1873">
        <v>22.2744</v>
      </c>
      <c r="L1873">
        <v>100234.8</v>
      </c>
      <c r="M1873" t="s">
        <v>106</v>
      </c>
      <c r="N1873" t="s">
        <v>792</v>
      </c>
    </row>
    <row r="1874" spans="1:14" x14ac:dyDescent="0.25">
      <c r="A1874" s="18">
        <v>46133</v>
      </c>
      <c r="B1874" t="s">
        <v>319</v>
      </c>
      <c r="C1874" t="s">
        <v>814</v>
      </c>
      <c r="D1874" t="s">
        <v>815</v>
      </c>
      <c r="E1874" t="s">
        <v>816</v>
      </c>
      <c r="F1874" t="s">
        <v>21</v>
      </c>
      <c r="G1874">
        <v>-279</v>
      </c>
      <c r="H1874">
        <v>355.12720000000002</v>
      </c>
      <c r="I1874">
        <v>99080.488800000006</v>
      </c>
      <c r="K1874">
        <v>355.12720000000002</v>
      </c>
      <c r="L1874">
        <v>99080.488800000006</v>
      </c>
      <c r="M1874" t="s">
        <v>815</v>
      </c>
      <c r="N1874" t="s">
        <v>814</v>
      </c>
    </row>
    <row r="1875" spans="1:14" x14ac:dyDescent="0.25">
      <c r="A1875" s="18">
        <v>46133</v>
      </c>
      <c r="B1875" t="s">
        <v>319</v>
      </c>
      <c r="C1875" t="s">
        <v>484</v>
      </c>
      <c r="D1875" t="s">
        <v>30</v>
      </c>
      <c r="E1875" t="s">
        <v>31</v>
      </c>
      <c r="F1875" t="s">
        <v>21</v>
      </c>
      <c r="G1875">
        <v>-631</v>
      </c>
      <c r="H1875">
        <v>157.52869999999999</v>
      </c>
      <c r="I1875">
        <v>99400.609699999986</v>
      </c>
      <c r="K1875">
        <v>157.52869999999999</v>
      </c>
      <c r="L1875">
        <v>99400.609699999986</v>
      </c>
      <c r="M1875" t="s">
        <v>30</v>
      </c>
      <c r="N1875" t="s">
        <v>484</v>
      </c>
    </row>
    <row r="1876" spans="1:14" x14ac:dyDescent="0.25">
      <c r="A1876" s="18">
        <v>46134</v>
      </c>
      <c r="B1876" t="s">
        <v>319</v>
      </c>
      <c r="C1876" t="s">
        <v>732</v>
      </c>
      <c r="D1876" t="s">
        <v>64</v>
      </c>
      <c r="E1876" t="s">
        <v>65</v>
      </c>
      <c r="F1876" t="s">
        <v>49</v>
      </c>
      <c r="G1876">
        <v>-132</v>
      </c>
      <c r="H1876">
        <v>916.4</v>
      </c>
      <c r="I1876">
        <v>120964.8</v>
      </c>
      <c r="K1876">
        <v>916.4</v>
      </c>
      <c r="L1876">
        <v>120964.8</v>
      </c>
      <c r="M1876" t="s">
        <v>64</v>
      </c>
      <c r="N1876" t="s">
        <v>732</v>
      </c>
    </row>
    <row r="1877" spans="1:14" x14ac:dyDescent="0.25">
      <c r="A1877" s="18">
        <v>46134</v>
      </c>
      <c r="B1877" t="s">
        <v>319</v>
      </c>
      <c r="C1877" t="s">
        <v>860</v>
      </c>
      <c r="D1877" t="s">
        <v>43</v>
      </c>
      <c r="E1877" t="s">
        <v>795</v>
      </c>
      <c r="F1877" t="s">
        <v>36</v>
      </c>
      <c r="G1877">
        <v>-2000</v>
      </c>
      <c r="H1877">
        <v>33.06</v>
      </c>
      <c r="I1877">
        <v>66120</v>
      </c>
      <c r="K1877">
        <v>33.06</v>
      </c>
      <c r="L1877">
        <v>66120</v>
      </c>
      <c r="M1877" t="s">
        <v>43</v>
      </c>
      <c r="N1877" t="s">
        <v>860</v>
      </c>
    </row>
    <row r="1878" spans="1:14" x14ac:dyDescent="0.25">
      <c r="A1878" s="18">
        <v>46134</v>
      </c>
      <c r="B1878" t="s">
        <v>319</v>
      </c>
      <c r="C1878" t="s">
        <v>326</v>
      </c>
      <c r="D1878" t="s">
        <v>327</v>
      </c>
      <c r="E1878" t="s">
        <v>251</v>
      </c>
      <c r="F1878" t="s">
        <v>21</v>
      </c>
      <c r="G1878">
        <v>-750</v>
      </c>
      <c r="H1878">
        <v>131.51</v>
      </c>
      <c r="I1878">
        <v>98632.5</v>
      </c>
      <c r="K1878">
        <v>131.51</v>
      </c>
      <c r="L1878">
        <v>98632.5</v>
      </c>
      <c r="M1878" t="s">
        <v>327</v>
      </c>
      <c r="N1878" t="s">
        <v>326</v>
      </c>
    </row>
    <row r="1879" spans="1:14" x14ac:dyDescent="0.25">
      <c r="A1879" s="18">
        <v>46134</v>
      </c>
      <c r="B1879" t="s">
        <v>319</v>
      </c>
      <c r="C1879" t="s">
        <v>868</v>
      </c>
      <c r="D1879" t="s">
        <v>24</v>
      </c>
      <c r="E1879" t="s">
        <v>25</v>
      </c>
      <c r="F1879" t="s">
        <v>21</v>
      </c>
      <c r="G1879">
        <v>-250</v>
      </c>
      <c r="H1879">
        <v>478.45</v>
      </c>
      <c r="I1879">
        <v>119612.5</v>
      </c>
      <c r="K1879">
        <v>478.45</v>
      </c>
      <c r="L1879">
        <v>119612.5</v>
      </c>
      <c r="M1879" t="s">
        <v>24</v>
      </c>
      <c r="N1879" t="s">
        <v>868</v>
      </c>
    </row>
    <row r="1880" spans="1:14" x14ac:dyDescent="0.25">
      <c r="A1880" s="18">
        <v>46134</v>
      </c>
      <c r="B1880" t="s">
        <v>289</v>
      </c>
      <c r="C1880" t="s">
        <v>294</v>
      </c>
      <c r="D1880" t="s">
        <v>80</v>
      </c>
      <c r="E1880" t="s">
        <v>505</v>
      </c>
      <c r="F1880" t="s">
        <v>82</v>
      </c>
      <c r="G1880">
        <v>1500</v>
      </c>
      <c r="H1880">
        <v>71.400000000000006</v>
      </c>
      <c r="I1880">
        <v>-107100.00000000001</v>
      </c>
      <c r="K1880">
        <v>71.400000000000006</v>
      </c>
      <c r="L1880">
        <v>-107100.00000000001</v>
      </c>
      <c r="M1880" t="s">
        <v>80</v>
      </c>
      <c r="N1880" t="s">
        <v>294</v>
      </c>
    </row>
    <row r="1881" spans="1:14" x14ac:dyDescent="0.25">
      <c r="A1881" s="18">
        <v>46135</v>
      </c>
      <c r="B1881" t="s">
        <v>319</v>
      </c>
      <c r="C1881" t="s">
        <v>771</v>
      </c>
      <c r="D1881" t="s">
        <v>89</v>
      </c>
      <c r="E1881" t="s">
        <v>90</v>
      </c>
      <c r="F1881" t="s">
        <v>21</v>
      </c>
      <c r="G1881">
        <v>-1500</v>
      </c>
      <c r="H1881">
        <v>101.1052</v>
      </c>
      <c r="I1881">
        <v>151657.79999999999</v>
      </c>
      <c r="K1881">
        <v>101.1052</v>
      </c>
      <c r="L1881">
        <v>151657.79999999999</v>
      </c>
      <c r="M1881" t="s">
        <v>89</v>
      </c>
      <c r="N1881" t="s">
        <v>771</v>
      </c>
    </row>
    <row r="1882" spans="1:14" x14ac:dyDescent="0.25">
      <c r="A1882" s="18">
        <v>46135</v>
      </c>
      <c r="B1882" t="s">
        <v>289</v>
      </c>
      <c r="C1882" t="s">
        <v>323</v>
      </c>
      <c r="D1882" t="s">
        <v>39</v>
      </c>
      <c r="E1882" t="s">
        <v>40</v>
      </c>
      <c r="F1882" t="s">
        <v>36</v>
      </c>
      <c r="G1882">
        <v>1780</v>
      </c>
      <c r="H1882">
        <v>34.6004</v>
      </c>
      <c r="I1882">
        <v>-61588.712</v>
      </c>
      <c r="K1882">
        <v>34.6004</v>
      </c>
      <c r="L1882">
        <v>-61588.712</v>
      </c>
      <c r="M1882" t="s">
        <v>39</v>
      </c>
      <c r="N1882" t="s">
        <v>323</v>
      </c>
    </row>
    <row r="1883" spans="1:14" x14ac:dyDescent="0.25">
      <c r="A1883" s="18">
        <v>46136</v>
      </c>
      <c r="B1883" t="s">
        <v>289</v>
      </c>
      <c r="C1883" t="s">
        <v>326</v>
      </c>
      <c r="D1883" t="s">
        <v>327</v>
      </c>
      <c r="E1883" t="s">
        <v>251</v>
      </c>
      <c r="F1883" t="s">
        <v>21</v>
      </c>
      <c r="G1883">
        <v>572</v>
      </c>
      <c r="H1883">
        <v>128.35599999999999</v>
      </c>
      <c r="I1883">
        <v>-73419.631999999998</v>
      </c>
      <c r="K1883">
        <v>128.35599999999999</v>
      </c>
      <c r="L1883">
        <v>-73419.631999999998</v>
      </c>
      <c r="M1883" t="s">
        <v>327</v>
      </c>
      <c r="N1883" t="s">
        <v>326</v>
      </c>
    </row>
    <row r="1884" spans="1:14" x14ac:dyDescent="0.25">
      <c r="A1884" s="18">
        <v>46136</v>
      </c>
      <c r="B1884" t="s">
        <v>319</v>
      </c>
      <c r="C1884" t="s">
        <v>619</v>
      </c>
      <c r="D1884" t="s">
        <v>620</v>
      </c>
      <c r="E1884" t="s">
        <v>621</v>
      </c>
      <c r="F1884" t="s">
        <v>21</v>
      </c>
      <c r="G1884">
        <v>-790</v>
      </c>
      <c r="H1884">
        <v>185.4444</v>
      </c>
      <c r="I1884">
        <v>146501.076</v>
      </c>
      <c r="K1884">
        <v>185.4444</v>
      </c>
      <c r="L1884">
        <v>146501.076</v>
      </c>
      <c r="M1884" t="s">
        <v>620</v>
      </c>
      <c r="N1884" t="s">
        <v>619</v>
      </c>
    </row>
    <row r="1885" spans="1:14" x14ac:dyDescent="0.25">
      <c r="A1885" s="18">
        <v>46136</v>
      </c>
      <c r="B1885" t="s">
        <v>289</v>
      </c>
      <c r="C1885" t="s">
        <v>294</v>
      </c>
      <c r="D1885" t="s">
        <v>80</v>
      </c>
      <c r="E1885" t="s">
        <v>505</v>
      </c>
      <c r="F1885" t="s">
        <v>82</v>
      </c>
      <c r="G1885">
        <v>1280</v>
      </c>
      <c r="H1885">
        <v>72.3</v>
      </c>
      <c r="I1885">
        <v>-92544</v>
      </c>
      <c r="K1885">
        <v>72.3</v>
      </c>
      <c r="L1885">
        <v>-92544</v>
      </c>
      <c r="M1885" t="s">
        <v>80</v>
      </c>
      <c r="N1885" t="s">
        <v>294</v>
      </c>
    </row>
    <row r="1886" spans="1:14" x14ac:dyDescent="0.25">
      <c r="A1886" s="18">
        <v>46136</v>
      </c>
      <c r="B1886" t="s">
        <v>319</v>
      </c>
      <c r="C1886" t="s">
        <v>868</v>
      </c>
      <c r="D1886" t="s">
        <v>24</v>
      </c>
      <c r="E1886" t="s">
        <v>25</v>
      </c>
      <c r="F1886" t="s">
        <v>21</v>
      </c>
      <c r="G1886">
        <v>-50</v>
      </c>
      <c r="H1886">
        <v>471.35</v>
      </c>
      <c r="I1886">
        <v>23567.5</v>
      </c>
      <c r="K1886">
        <v>471.35</v>
      </c>
      <c r="L1886">
        <v>23567.5</v>
      </c>
      <c r="M1886" t="s">
        <v>24</v>
      </c>
      <c r="N1886" t="s">
        <v>868</v>
      </c>
    </row>
    <row r="1887" spans="1:14" x14ac:dyDescent="0.25">
      <c r="A1887" s="18">
        <v>46136</v>
      </c>
      <c r="B1887" t="s">
        <v>289</v>
      </c>
      <c r="C1887" t="s">
        <v>326</v>
      </c>
      <c r="D1887" t="s">
        <v>327</v>
      </c>
      <c r="E1887" t="s">
        <v>251</v>
      </c>
      <c r="F1887" t="s">
        <v>21</v>
      </c>
      <c r="G1887">
        <v>764</v>
      </c>
      <c r="H1887">
        <v>127.36879999999999</v>
      </c>
      <c r="I1887">
        <v>-97309.763200000001</v>
      </c>
      <c r="K1887">
        <v>127.36880000000001</v>
      </c>
      <c r="L1887">
        <v>-97309.763200000001</v>
      </c>
      <c r="M1887" t="s">
        <v>327</v>
      </c>
      <c r="N1887" t="s">
        <v>326</v>
      </c>
    </row>
    <row r="1888" spans="1:14" x14ac:dyDescent="0.25">
      <c r="A1888" s="18">
        <v>46136</v>
      </c>
      <c r="B1888" t="s">
        <v>319</v>
      </c>
      <c r="C1888" t="s">
        <v>619</v>
      </c>
      <c r="D1888" t="s">
        <v>620</v>
      </c>
      <c r="E1888" t="s">
        <v>621</v>
      </c>
      <c r="F1888" t="s">
        <v>21</v>
      </c>
      <c r="G1888">
        <v>-525</v>
      </c>
      <c r="H1888">
        <v>185.47499999999999</v>
      </c>
      <c r="I1888">
        <v>97374.375</v>
      </c>
      <c r="K1888">
        <v>185.47499999999999</v>
      </c>
      <c r="L1888">
        <v>97374.375</v>
      </c>
      <c r="M1888" t="s">
        <v>620</v>
      </c>
      <c r="N1888" t="s">
        <v>619</v>
      </c>
    </row>
    <row r="1889" spans="1:14" x14ac:dyDescent="0.25">
      <c r="A1889" s="18">
        <v>46136</v>
      </c>
      <c r="B1889" t="s">
        <v>289</v>
      </c>
      <c r="C1889" t="s">
        <v>771</v>
      </c>
      <c r="D1889" t="s">
        <v>89</v>
      </c>
      <c r="E1889" t="s">
        <v>90</v>
      </c>
      <c r="F1889" t="s">
        <v>21</v>
      </c>
      <c r="G1889">
        <v>500</v>
      </c>
      <c r="H1889">
        <v>98.96</v>
      </c>
      <c r="I1889">
        <v>-49480</v>
      </c>
      <c r="K1889">
        <v>98.96</v>
      </c>
      <c r="L1889">
        <v>-49480</v>
      </c>
      <c r="M1889" t="s">
        <v>89</v>
      </c>
      <c r="N1889" t="s">
        <v>771</v>
      </c>
    </row>
    <row r="1890" spans="1:14" x14ac:dyDescent="0.25">
      <c r="A1890" s="18">
        <v>46139</v>
      </c>
      <c r="B1890" t="s">
        <v>289</v>
      </c>
      <c r="C1890" t="s">
        <v>361</v>
      </c>
      <c r="D1890" t="s">
        <v>93</v>
      </c>
      <c r="E1890" t="s">
        <v>94</v>
      </c>
      <c r="F1890" t="s">
        <v>21</v>
      </c>
      <c r="G1890">
        <v>400</v>
      </c>
      <c r="H1890">
        <v>177.94</v>
      </c>
      <c r="I1890">
        <v>-71176</v>
      </c>
      <c r="K1890">
        <v>177.94</v>
      </c>
      <c r="L1890">
        <v>-71176</v>
      </c>
      <c r="M1890" t="s">
        <v>93</v>
      </c>
      <c r="N1890" t="s">
        <v>361</v>
      </c>
    </row>
    <row r="1891" spans="1:14" x14ac:dyDescent="0.25">
      <c r="A1891" s="18">
        <v>46139</v>
      </c>
      <c r="B1891" t="s">
        <v>319</v>
      </c>
      <c r="C1891" t="s">
        <v>314</v>
      </c>
      <c r="D1891" t="s">
        <v>315</v>
      </c>
      <c r="E1891" t="s">
        <v>362</v>
      </c>
      <c r="F1891" t="s">
        <v>21</v>
      </c>
      <c r="G1891">
        <v>-6550</v>
      </c>
      <c r="H1891">
        <v>22.630800000000001</v>
      </c>
      <c r="I1891">
        <v>148231.74</v>
      </c>
      <c r="K1891">
        <v>22.630799999999997</v>
      </c>
      <c r="L1891">
        <v>148231.74</v>
      </c>
      <c r="M1891" t="s">
        <v>315</v>
      </c>
      <c r="N1891" t="s">
        <v>314</v>
      </c>
    </row>
    <row r="1892" spans="1:14" x14ac:dyDescent="0.25">
      <c r="A1892" s="18">
        <v>46140</v>
      </c>
      <c r="B1892" t="s">
        <v>289</v>
      </c>
      <c r="C1892" t="s">
        <v>874</v>
      </c>
      <c r="D1892" t="s">
        <v>875</v>
      </c>
      <c r="E1892" t="s">
        <v>876</v>
      </c>
      <c r="F1892" t="s">
        <v>21</v>
      </c>
      <c r="G1892">
        <v>500</v>
      </c>
      <c r="H1892">
        <v>204.7</v>
      </c>
      <c r="I1892">
        <v>-102350</v>
      </c>
      <c r="K1892">
        <v>204.7</v>
      </c>
      <c r="L1892">
        <v>-102350</v>
      </c>
      <c r="M1892" t="s">
        <v>875</v>
      </c>
      <c r="N1892" t="s">
        <v>874</v>
      </c>
    </row>
    <row r="1893" spans="1:14" x14ac:dyDescent="0.25">
      <c r="A1893" s="18">
        <v>46140</v>
      </c>
      <c r="B1893" t="s">
        <v>319</v>
      </c>
      <c r="C1893" t="s">
        <v>608</v>
      </c>
      <c r="D1893" t="s">
        <v>26</v>
      </c>
      <c r="E1893" t="s">
        <v>27</v>
      </c>
      <c r="F1893" t="s">
        <v>21</v>
      </c>
      <c r="G1893">
        <v>-619</v>
      </c>
      <c r="H1893">
        <v>242.8742</v>
      </c>
      <c r="I1893">
        <v>150339.1298</v>
      </c>
      <c r="K1893">
        <v>242.8742</v>
      </c>
      <c r="L1893">
        <v>150339.1298</v>
      </c>
      <c r="M1893" t="s">
        <v>26</v>
      </c>
      <c r="N1893" t="s">
        <v>608</v>
      </c>
    </row>
    <row r="1894" spans="1:14" x14ac:dyDescent="0.25">
      <c r="A1894" s="18">
        <v>46140</v>
      </c>
      <c r="B1894" t="s">
        <v>319</v>
      </c>
      <c r="C1894" t="s">
        <v>435</v>
      </c>
      <c r="D1894" t="s">
        <v>99</v>
      </c>
      <c r="E1894" t="s">
        <v>100</v>
      </c>
      <c r="F1894" t="s">
        <v>21</v>
      </c>
      <c r="G1894">
        <v>-29189</v>
      </c>
      <c r="H1894">
        <v>10.3849</v>
      </c>
      <c r="I1894">
        <v>303124.84610000002</v>
      </c>
      <c r="K1894">
        <v>10.3849</v>
      </c>
      <c r="L1894">
        <v>303124.84610000002</v>
      </c>
      <c r="M1894" t="s">
        <v>99</v>
      </c>
      <c r="N1894" t="s">
        <v>435</v>
      </c>
    </row>
    <row r="1895" spans="1:14" x14ac:dyDescent="0.25">
      <c r="A1895" s="18">
        <v>46142</v>
      </c>
      <c r="B1895" t="s">
        <v>319</v>
      </c>
      <c r="C1895" t="s">
        <v>823</v>
      </c>
      <c r="D1895" t="s">
        <v>824</v>
      </c>
      <c r="E1895" t="s">
        <v>280</v>
      </c>
      <c r="F1895" t="s">
        <v>21</v>
      </c>
      <c r="G1895">
        <v>-84</v>
      </c>
      <c r="H1895">
        <v>1201.4000000000001</v>
      </c>
      <c r="I1895">
        <v>100917.6</v>
      </c>
      <c r="K1895">
        <v>1201.4000000000001</v>
      </c>
      <c r="L1895">
        <v>100917.6</v>
      </c>
      <c r="M1895" t="s">
        <v>824</v>
      </c>
      <c r="N1895" t="s">
        <v>823</v>
      </c>
    </row>
    <row r="1896" spans="1:14" x14ac:dyDescent="0.25">
      <c r="A1896" s="18">
        <v>46142</v>
      </c>
      <c r="B1896" t="s">
        <v>289</v>
      </c>
      <c r="C1896" t="s">
        <v>784</v>
      </c>
      <c r="D1896" t="s">
        <v>58</v>
      </c>
      <c r="E1896" t="s">
        <v>59</v>
      </c>
      <c r="F1896" t="s">
        <v>21</v>
      </c>
      <c r="G1896">
        <v>2500</v>
      </c>
      <c r="H1896">
        <v>36.437600000000003</v>
      </c>
      <c r="I1896">
        <v>-91094.000000000015</v>
      </c>
      <c r="K1896">
        <v>36.437600000000003</v>
      </c>
      <c r="L1896">
        <v>-91094.000000000015</v>
      </c>
      <c r="M1896" t="s">
        <v>58</v>
      </c>
      <c r="N1896" t="s">
        <v>784</v>
      </c>
    </row>
    <row r="1897" spans="1:14" x14ac:dyDescent="0.25">
      <c r="A1897" s="18">
        <v>46147</v>
      </c>
      <c r="B1897" t="s">
        <v>319</v>
      </c>
      <c r="C1897" t="s">
        <v>450</v>
      </c>
      <c r="D1897" t="s">
        <v>116</v>
      </c>
      <c r="E1897" t="s">
        <v>451</v>
      </c>
      <c r="F1897" t="s">
        <v>21</v>
      </c>
      <c r="G1897">
        <v>-45000</v>
      </c>
      <c r="H1897">
        <v>5.8689999999999998</v>
      </c>
      <c r="I1897">
        <v>264105</v>
      </c>
      <c r="K1897">
        <v>5.8689999999999998</v>
      </c>
      <c r="L1897">
        <v>264105</v>
      </c>
      <c r="M1897" t="s">
        <v>116</v>
      </c>
      <c r="N1897" t="s">
        <v>450</v>
      </c>
    </row>
    <row r="1898" spans="1:14" x14ac:dyDescent="0.25">
      <c r="A1898" s="18">
        <v>46149</v>
      </c>
      <c r="B1898" t="s">
        <v>319</v>
      </c>
      <c r="C1898" t="s">
        <v>877</v>
      </c>
      <c r="D1898" t="s">
        <v>878</v>
      </c>
      <c r="E1898" t="s">
        <v>879</v>
      </c>
      <c r="F1898" t="s">
        <v>21</v>
      </c>
      <c r="G1898">
        <v>-9068</v>
      </c>
      <c r="H1898">
        <v>111.02</v>
      </c>
      <c r="I1898">
        <v>1006729.36</v>
      </c>
      <c r="K1898">
        <v>111.02</v>
      </c>
      <c r="L1898">
        <v>1006729.36</v>
      </c>
      <c r="M1898" t="s">
        <v>878</v>
      </c>
      <c r="N1898" t="s">
        <v>877</v>
      </c>
    </row>
    <row r="1899" spans="1:14" x14ac:dyDescent="0.25">
      <c r="A1899" s="18">
        <v>46149</v>
      </c>
      <c r="B1899" t="s">
        <v>289</v>
      </c>
      <c r="C1899" t="s">
        <v>860</v>
      </c>
      <c r="D1899" t="s">
        <v>43</v>
      </c>
      <c r="E1899" t="s">
        <v>795</v>
      </c>
      <c r="F1899" t="s">
        <v>36</v>
      </c>
      <c r="G1899">
        <v>2000</v>
      </c>
      <c r="H1899">
        <v>31.543900000000001</v>
      </c>
      <c r="I1899">
        <v>-63087.8</v>
      </c>
      <c r="K1899">
        <v>31.543900000000001</v>
      </c>
      <c r="L1899">
        <v>-63087.8</v>
      </c>
      <c r="M1899" t="s">
        <v>43</v>
      </c>
      <c r="N1899" t="s">
        <v>860</v>
      </c>
    </row>
    <row r="1900" spans="1:14" x14ac:dyDescent="0.25">
      <c r="A1900" s="18">
        <v>46149</v>
      </c>
      <c r="B1900" t="s">
        <v>289</v>
      </c>
      <c r="C1900" t="s">
        <v>852</v>
      </c>
      <c r="D1900" t="s">
        <v>54</v>
      </c>
      <c r="E1900" t="s">
        <v>55</v>
      </c>
      <c r="F1900" t="s">
        <v>21</v>
      </c>
      <c r="G1900">
        <v>16350</v>
      </c>
      <c r="H1900">
        <v>4.4332000000000003</v>
      </c>
      <c r="I1900">
        <v>-72482.820000000007</v>
      </c>
      <c r="K1900">
        <v>4.4332000000000003</v>
      </c>
      <c r="L1900">
        <v>-72482.820000000007</v>
      </c>
      <c r="M1900" t="s">
        <v>54</v>
      </c>
      <c r="N1900" t="s">
        <v>852</v>
      </c>
    </row>
    <row r="1901" spans="1:14" x14ac:dyDescent="0.25">
      <c r="A1901" s="18">
        <v>46149</v>
      </c>
      <c r="B1901" t="s">
        <v>319</v>
      </c>
      <c r="C1901" t="s">
        <v>314</v>
      </c>
      <c r="D1901" t="s">
        <v>315</v>
      </c>
      <c r="E1901" t="s">
        <v>362</v>
      </c>
      <c r="F1901" t="s">
        <v>21</v>
      </c>
      <c r="G1901">
        <v>-6200</v>
      </c>
      <c r="H1901">
        <v>24.771899999999999</v>
      </c>
      <c r="I1901">
        <v>153585.78</v>
      </c>
      <c r="K1901">
        <v>24.771899999999999</v>
      </c>
      <c r="L1901">
        <v>153585.78</v>
      </c>
      <c r="M1901" t="s">
        <v>315</v>
      </c>
      <c r="N1901" t="s">
        <v>314</v>
      </c>
    </row>
    <row r="1902" spans="1:14" x14ac:dyDescent="0.25">
      <c r="A1902" s="18">
        <v>46149</v>
      </c>
      <c r="B1902" t="s">
        <v>289</v>
      </c>
      <c r="C1902" t="s">
        <v>633</v>
      </c>
      <c r="D1902" t="s">
        <v>634</v>
      </c>
      <c r="E1902" t="s">
        <v>281</v>
      </c>
      <c r="F1902" t="s">
        <v>21</v>
      </c>
      <c r="G1902">
        <v>2800</v>
      </c>
      <c r="H1902">
        <v>51.38</v>
      </c>
      <c r="I1902">
        <v>-143864</v>
      </c>
      <c r="K1902">
        <v>51.38</v>
      </c>
      <c r="L1902">
        <v>-143864</v>
      </c>
      <c r="M1902" t="s">
        <v>634</v>
      </c>
      <c r="N1902" t="s">
        <v>633</v>
      </c>
    </row>
    <row r="1903" spans="1:14" x14ac:dyDescent="0.25">
      <c r="A1903" s="18">
        <v>46154</v>
      </c>
      <c r="B1903" t="s">
        <v>289</v>
      </c>
      <c r="C1903" t="s">
        <v>870</v>
      </c>
      <c r="D1903" t="s">
        <v>871</v>
      </c>
      <c r="E1903" t="s">
        <v>872</v>
      </c>
      <c r="F1903" t="s">
        <v>21</v>
      </c>
      <c r="G1903">
        <v>12</v>
      </c>
      <c r="H1903">
        <v>7976.2</v>
      </c>
      <c r="I1903">
        <v>-957144</v>
      </c>
      <c r="K1903">
        <v>7976.2</v>
      </c>
      <c r="L1903">
        <v>-957144</v>
      </c>
      <c r="M1903" t="s">
        <v>871</v>
      </c>
      <c r="N1903" t="s">
        <v>870</v>
      </c>
    </row>
    <row r="1904" spans="1:14" x14ac:dyDescent="0.25">
      <c r="A1904" s="18">
        <v>46154</v>
      </c>
      <c r="B1904" t="s">
        <v>319</v>
      </c>
      <c r="C1904" t="s">
        <v>880</v>
      </c>
      <c r="D1904" t="s">
        <v>881</v>
      </c>
      <c r="E1904" t="s">
        <v>882</v>
      </c>
      <c r="F1904" t="s">
        <v>21</v>
      </c>
      <c r="G1904">
        <v>-12</v>
      </c>
      <c r="H1904">
        <v>7937.7</v>
      </c>
      <c r="I1904">
        <v>952524</v>
      </c>
      <c r="K1904">
        <v>7937.7</v>
      </c>
      <c r="L1904">
        <v>952524</v>
      </c>
      <c r="M1904" t="s">
        <v>881</v>
      </c>
      <c r="N1904" t="s">
        <v>880</v>
      </c>
    </row>
    <row r="1905" spans="1:14" x14ac:dyDescent="0.25">
      <c r="A1905" s="18">
        <v>46155</v>
      </c>
      <c r="B1905" t="s">
        <v>289</v>
      </c>
      <c r="C1905" t="s">
        <v>771</v>
      </c>
      <c r="D1905" t="s">
        <v>89</v>
      </c>
      <c r="E1905" t="s">
        <v>90</v>
      </c>
      <c r="F1905" t="s">
        <v>21</v>
      </c>
      <c r="G1905">
        <v>1040</v>
      </c>
      <c r="H1905">
        <v>90.990300000000005</v>
      </c>
      <c r="I1905">
        <v>-94629.912000000011</v>
      </c>
      <c r="K1905">
        <v>90.990300000000005</v>
      </c>
      <c r="L1905">
        <v>-94629.912000000011</v>
      </c>
      <c r="M1905" t="s">
        <v>89</v>
      </c>
      <c r="N1905" t="s">
        <v>771</v>
      </c>
    </row>
    <row r="1906" spans="1:14" x14ac:dyDescent="0.25">
      <c r="A1906" s="18">
        <v>46156</v>
      </c>
      <c r="B1906" t="s">
        <v>319</v>
      </c>
      <c r="C1906" t="s">
        <v>843</v>
      </c>
      <c r="D1906" t="s">
        <v>844</v>
      </c>
      <c r="E1906" t="s">
        <v>845</v>
      </c>
      <c r="F1906" t="s">
        <v>21</v>
      </c>
      <c r="G1906">
        <v>-14</v>
      </c>
      <c r="H1906">
        <v>5885</v>
      </c>
      <c r="I1906">
        <v>823900</v>
      </c>
      <c r="K1906">
        <v>5885</v>
      </c>
      <c r="L1906">
        <v>823900</v>
      </c>
      <c r="M1906" t="s">
        <v>844</v>
      </c>
      <c r="N1906" t="s">
        <v>843</v>
      </c>
    </row>
    <row r="1907" spans="1:14" x14ac:dyDescent="0.25">
      <c r="A1907" s="18">
        <v>46156</v>
      </c>
      <c r="B1907" t="s">
        <v>289</v>
      </c>
      <c r="C1907" t="s">
        <v>837</v>
      </c>
      <c r="D1907" t="s">
        <v>838</v>
      </c>
      <c r="E1907" t="s">
        <v>839</v>
      </c>
      <c r="F1907" t="s">
        <v>49</v>
      </c>
      <c r="G1907">
        <v>2</v>
      </c>
      <c r="H1907">
        <v>7483.75</v>
      </c>
      <c r="I1907">
        <v>-748375</v>
      </c>
      <c r="K1907">
        <v>7483.75</v>
      </c>
      <c r="L1907">
        <v>-748375</v>
      </c>
      <c r="M1907" t="s">
        <v>838</v>
      </c>
      <c r="N1907" t="s">
        <v>837</v>
      </c>
    </row>
    <row r="1908" spans="1:14" x14ac:dyDescent="0.25">
      <c r="A1908" s="18">
        <v>46156</v>
      </c>
      <c r="B1908" t="s">
        <v>289</v>
      </c>
      <c r="C1908" t="s">
        <v>840</v>
      </c>
      <c r="D1908" t="s">
        <v>841</v>
      </c>
      <c r="E1908" t="s">
        <v>842</v>
      </c>
      <c r="F1908" t="s">
        <v>49</v>
      </c>
      <c r="G1908">
        <v>1</v>
      </c>
      <c r="H1908">
        <v>29596.25</v>
      </c>
      <c r="I1908">
        <v>-591925</v>
      </c>
      <c r="K1908">
        <v>29596.25</v>
      </c>
      <c r="L1908">
        <v>-591925</v>
      </c>
      <c r="M1908" t="s">
        <v>841</v>
      </c>
      <c r="N1908" t="s">
        <v>840</v>
      </c>
    </row>
    <row r="1909" spans="1:14" x14ac:dyDescent="0.25">
      <c r="A1909" s="18">
        <v>46156</v>
      </c>
      <c r="B1909" t="s">
        <v>289</v>
      </c>
      <c r="C1909" t="s">
        <v>820</v>
      </c>
      <c r="D1909" t="s">
        <v>821</v>
      </c>
      <c r="E1909" t="s">
        <v>822</v>
      </c>
      <c r="F1909" t="s">
        <v>49</v>
      </c>
      <c r="G1909">
        <v>4</v>
      </c>
      <c r="H1909">
        <v>2852.4</v>
      </c>
      <c r="I1909">
        <v>-570480</v>
      </c>
      <c r="K1909">
        <v>2852.4</v>
      </c>
      <c r="L1909">
        <v>-570480</v>
      </c>
      <c r="M1909" t="s">
        <v>821</v>
      </c>
      <c r="N1909" t="s">
        <v>820</v>
      </c>
    </row>
    <row r="1910" spans="1:14" x14ac:dyDescent="0.25">
      <c r="A1910" s="18">
        <v>46157</v>
      </c>
      <c r="B1910" t="s">
        <v>289</v>
      </c>
      <c r="C1910" t="s">
        <v>783</v>
      </c>
      <c r="D1910" t="s">
        <v>78</v>
      </c>
      <c r="E1910" t="s">
        <v>79</v>
      </c>
      <c r="F1910" t="s">
        <v>21</v>
      </c>
      <c r="G1910">
        <v>1620</v>
      </c>
      <c r="H1910">
        <v>29.9</v>
      </c>
      <c r="I1910">
        <v>-48438</v>
      </c>
      <c r="K1910">
        <v>29.9</v>
      </c>
      <c r="L1910">
        <v>-48438</v>
      </c>
      <c r="M1910" t="s">
        <v>78</v>
      </c>
      <c r="N1910" t="s">
        <v>783</v>
      </c>
    </row>
    <row r="1911" spans="1:14" x14ac:dyDescent="0.25">
      <c r="A1911" s="18">
        <v>46157</v>
      </c>
      <c r="B1911" t="s">
        <v>289</v>
      </c>
      <c r="C1911" t="s">
        <v>860</v>
      </c>
      <c r="D1911" t="s">
        <v>43</v>
      </c>
      <c r="E1911" t="s">
        <v>795</v>
      </c>
      <c r="F1911" t="s">
        <v>36</v>
      </c>
      <c r="G1911">
        <v>2790</v>
      </c>
      <c r="H1911">
        <v>31.552499999999998</v>
      </c>
      <c r="I1911">
        <v>-88031.474999999991</v>
      </c>
      <c r="K1911">
        <v>31.552499999999998</v>
      </c>
      <c r="L1911">
        <v>-88031.474999999991</v>
      </c>
      <c r="M1911" t="s">
        <v>43</v>
      </c>
      <c r="N1911" t="s">
        <v>860</v>
      </c>
    </row>
    <row r="1912" spans="1:14" x14ac:dyDescent="0.25">
      <c r="A1912" s="18">
        <v>46157</v>
      </c>
      <c r="B1912" t="s">
        <v>319</v>
      </c>
      <c r="C1912" t="s">
        <v>301</v>
      </c>
      <c r="D1912" t="s">
        <v>120</v>
      </c>
      <c r="E1912" t="s">
        <v>363</v>
      </c>
      <c r="F1912" t="s">
        <v>21</v>
      </c>
      <c r="G1912">
        <v>-860</v>
      </c>
      <c r="H1912">
        <v>357.5804</v>
      </c>
      <c r="I1912">
        <v>307519.14399999997</v>
      </c>
      <c r="K1912">
        <v>357.58039999999994</v>
      </c>
      <c r="L1912">
        <v>307519.14399999997</v>
      </c>
      <c r="M1912" t="s">
        <v>120</v>
      </c>
      <c r="N1912" t="s">
        <v>301</v>
      </c>
    </row>
    <row r="1913" spans="1:14" x14ac:dyDescent="0.25">
      <c r="A1913" s="18">
        <v>46157</v>
      </c>
      <c r="B1913" t="s">
        <v>289</v>
      </c>
      <c r="C1913" t="s">
        <v>339</v>
      </c>
      <c r="D1913" t="s">
        <v>340</v>
      </c>
      <c r="E1913" t="s">
        <v>341</v>
      </c>
      <c r="F1913" t="s">
        <v>21</v>
      </c>
      <c r="G1913">
        <v>830</v>
      </c>
      <c r="H1913">
        <v>171.27010000000001</v>
      </c>
      <c r="I1913">
        <v>-142154.18300000002</v>
      </c>
      <c r="K1913">
        <v>171.27010000000001</v>
      </c>
      <c r="L1913">
        <v>-142154.18300000002</v>
      </c>
      <c r="M1913" t="s">
        <v>340</v>
      </c>
      <c r="N1913" t="s">
        <v>339</v>
      </c>
    </row>
    <row r="1914" spans="1:14" x14ac:dyDescent="0.25">
      <c r="A1914" s="18">
        <v>46157</v>
      </c>
      <c r="B1914" t="s">
        <v>289</v>
      </c>
      <c r="C1914" t="s">
        <v>742</v>
      </c>
      <c r="D1914" t="s">
        <v>50</v>
      </c>
      <c r="E1914" t="s">
        <v>743</v>
      </c>
      <c r="F1914" t="s">
        <v>21</v>
      </c>
      <c r="G1914">
        <v>3560</v>
      </c>
      <c r="H1914">
        <v>12.326700000000001</v>
      </c>
      <c r="I1914">
        <v>-43883.052000000003</v>
      </c>
      <c r="K1914">
        <v>12.326700000000001</v>
      </c>
      <c r="L1914">
        <v>-43883.052000000003</v>
      </c>
      <c r="M1914" t="s">
        <v>50</v>
      </c>
      <c r="N1914" t="s">
        <v>742</v>
      </c>
    </row>
    <row r="1915" spans="1:14" x14ac:dyDescent="0.25">
      <c r="A1915" s="18">
        <v>46157</v>
      </c>
      <c r="B1915" t="s">
        <v>289</v>
      </c>
      <c r="C1915" t="s">
        <v>771</v>
      </c>
      <c r="D1915" t="s">
        <v>89</v>
      </c>
      <c r="E1915" t="s">
        <v>90</v>
      </c>
      <c r="F1915" t="s">
        <v>21</v>
      </c>
      <c r="G1915">
        <v>520</v>
      </c>
      <c r="H1915">
        <v>87.149299999999997</v>
      </c>
      <c r="I1915">
        <v>-45317.635999999999</v>
      </c>
      <c r="K1915">
        <v>87.149299999999997</v>
      </c>
      <c r="L1915">
        <v>-45317.635999999999</v>
      </c>
      <c r="M1915" t="s">
        <v>89</v>
      </c>
      <c r="N1915" t="s">
        <v>771</v>
      </c>
    </row>
    <row r="1916" spans="1:14" x14ac:dyDescent="0.25">
      <c r="A1916" s="18">
        <v>46157</v>
      </c>
      <c r="B1916" t="s">
        <v>319</v>
      </c>
      <c r="C1916" t="s">
        <v>823</v>
      </c>
      <c r="D1916" t="s">
        <v>824</v>
      </c>
      <c r="E1916" t="s">
        <v>280</v>
      </c>
      <c r="F1916" t="s">
        <v>21</v>
      </c>
      <c r="G1916">
        <v>-99</v>
      </c>
      <c r="H1916">
        <v>1301.2</v>
      </c>
      <c r="I1916">
        <v>128818.8</v>
      </c>
      <c r="K1916">
        <v>1301.2</v>
      </c>
      <c r="L1916">
        <v>128818.8</v>
      </c>
      <c r="M1916" t="s">
        <v>824</v>
      </c>
      <c r="N1916" t="s">
        <v>823</v>
      </c>
    </row>
    <row r="1917" spans="1:14" x14ac:dyDescent="0.25">
      <c r="A1917" s="18">
        <v>46157</v>
      </c>
      <c r="B1917" t="s">
        <v>289</v>
      </c>
      <c r="C1917" t="s">
        <v>764</v>
      </c>
      <c r="D1917" t="s">
        <v>765</v>
      </c>
      <c r="E1917" t="s">
        <v>766</v>
      </c>
      <c r="F1917" t="s">
        <v>36</v>
      </c>
      <c r="G1917">
        <v>920</v>
      </c>
      <c r="H1917">
        <v>38.65</v>
      </c>
      <c r="I1917">
        <v>-35558</v>
      </c>
      <c r="K1917">
        <v>38.65</v>
      </c>
      <c r="L1917">
        <v>-35558</v>
      </c>
      <c r="M1917" t="s">
        <v>765</v>
      </c>
      <c r="N1917" t="s">
        <v>764</v>
      </c>
    </row>
    <row r="1918" spans="1:14" x14ac:dyDescent="0.25">
      <c r="A1918" s="18">
        <v>46161</v>
      </c>
      <c r="B1918" t="s">
        <v>319</v>
      </c>
      <c r="C1918" t="s">
        <v>732</v>
      </c>
      <c r="D1918" t="s">
        <v>64</v>
      </c>
      <c r="E1918" t="s">
        <v>65</v>
      </c>
      <c r="F1918" t="s">
        <v>49</v>
      </c>
      <c r="G1918">
        <v>-64</v>
      </c>
      <c r="H1918">
        <v>1014.8049999999999</v>
      </c>
      <c r="I1918">
        <v>64947.519999999997</v>
      </c>
      <c r="K1918">
        <v>1014.8049999999999</v>
      </c>
      <c r="L1918">
        <v>64947.519999999997</v>
      </c>
      <c r="M1918" t="s">
        <v>64</v>
      </c>
      <c r="N1918" t="s">
        <v>732</v>
      </c>
    </row>
    <row r="1919" spans="1:14" x14ac:dyDescent="0.25">
      <c r="A1919" s="18">
        <v>46161</v>
      </c>
      <c r="B1919" t="s">
        <v>319</v>
      </c>
      <c r="C1919" t="s">
        <v>739</v>
      </c>
      <c r="D1919" t="s">
        <v>740</v>
      </c>
      <c r="E1919" t="s">
        <v>741</v>
      </c>
      <c r="F1919" t="s">
        <v>49</v>
      </c>
      <c r="G1919">
        <v>-759</v>
      </c>
      <c r="H1919">
        <v>388.93439999999998</v>
      </c>
      <c r="I1919">
        <v>295201.2096</v>
      </c>
      <c r="K1919">
        <v>388.93439999999998</v>
      </c>
      <c r="L1919">
        <v>295201.2096</v>
      </c>
      <c r="M1919" t="s">
        <v>740</v>
      </c>
      <c r="N1919" t="s">
        <v>739</v>
      </c>
    </row>
    <row r="1920" spans="1:14" x14ac:dyDescent="0.25">
      <c r="A1920" s="18">
        <v>46162</v>
      </c>
      <c r="B1920" t="s">
        <v>289</v>
      </c>
      <c r="C1920" t="s">
        <v>316</v>
      </c>
      <c r="D1920" t="s">
        <v>317</v>
      </c>
      <c r="E1920" t="s">
        <v>274</v>
      </c>
      <c r="F1920" t="s">
        <v>21</v>
      </c>
      <c r="G1920">
        <v>2930</v>
      </c>
      <c r="H1920">
        <v>51.3</v>
      </c>
      <c r="I1920">
        <v>-150309</v>
      </c>
      <c r="K1920">
        <v>51.3</v>
      </c>
      <c r="L1920">
        <v>-150309</v>
      </c>
      <c r="M1920" t="s">
        <v>317</v>
      </c>
      <c r="N1920" t="s">
        <v>316</v>
      </c>
    </row>
    <row r="1921" spans="1:14" x14ac:dyDescent="0.25">
      <c r="A1921" s="18">
        <v>46162</v>
      </c>
      <c r="B1921" t="s">
        <v>289</v>
      </c>
      <c r="C1921" t="s">
        <v>339</v>
      </c>
      <c r="D1921" t="s">
        <v>340</v>
      </c>
      <c r="E1921" t="s">
        <v>341</v>
      </c>
      <c r="F1921" t="s">
        <v>21</v>
      </c>
      <c r="G1921">
        <v>595</v>
      </c>
      <c r="H1921">
        <v>171.7</v>
      </c>
      <c r="I1921">
        <v>-102161.5</v>
      </c>
      <c r="K1921">
        <v>171.7</v>
      </c>
      <c r="L1921">
        <v>-102161.5</v>
      </c>
      <c r="M1921" t="s">
        <v>340</v>
      </c>
      <c r="N1921" t="s">
        <v>339</v>
      </c>
    </row>
    <row r="1922" spans="1:14" x14ac:dyDescent="0.25">
      <c r="A1922" s="18">
        <v>46164</v>
      </c>
      <c r="B1922" t="s">
        <v>289</v>
      </c>
      <c r="C1922" t="s">
        <v>883</v>
      </c>
      <c r="D1922" t="s">
        <v>884</v>
      </c>
      <c r="E1922" t="s">
        <v>885</v>
      </c>
      <c r="F1922" t="s">
        <v>49</v>
      </c>
      <c r="G1922">
        <v>99</v>
      </c>
      <c r="H1922">
        <v>1514.7919999999999</v>
      </c>
      <c r="I1922">
        <v>-149964.408</v>
      </c>
      <c r="K1922">
        <v>1514.7919999999999</v>
      </c>
      <c r="L1922">
        <v>-149964.408</v>
      </c>
      <c r="M1922" t="s">
        <v>884</v>
      </c>
      <c r="N1922" t="s">
        <v>883</v>
      </c>
    </row>
    <row r="1923" spans="1:14" x14ac:dyDescent="0.25">
      <c r="A1923" s="18">
        <v>46164</v>
      </c>
      <c r="B1923" t="s">
        <v>289</v>
      </c>
      <c r="C1923" t="s">
        <v>886</v>
      </c>
      <c r="D1923" t="s">
        <v>887</v>
      </c>
      <c r="E1923" t="s">
        <v>888</v>
      </c>
      <c r="F1923" t="s">
        <v>49</v>
      </c>
      <c r="G1923">
        <v>799</v>
      </c>
      <c r="H1923">
        <v>196.97540000000001</v>
      </c>
      <c r="I1923">
        <v>-157383.34460000001</v>
      </c>
      <c r="K1923">
        <v>196.97540000000001</v>
      </c>
      <c r="L1923">
        <v>-157383.34460000001</v>
      </c>
      <c r="M1923" t="s">
        <v>887</v>
      </c>
      <c r="N1923" t="s">
        <v>886</v>
      </c>
    </row>
    <row r="1924" spans="1:14" x14ac:dyDescent="0.25">
      <c r="A1924" s="18">
        <v>46164</v>
      </c>
      <c r="B1924" t="s">
        <v>289</v>
      </c>
      <c r="C1924" t="s">
        <v>889</v>
      </c>
      <c r="D1924" t="s">
        <v>890</v>
      </c>
      <c r="E1924" t="s">
        <v>891</v>
      </c>
      <c r="F1924" t="s">
        <v>49</v>
      </c>
      <c r="G1924">
        <v>489</v>
      </c>
      <c r="H1924">
        <v>317.03309999999999</v>
      </c>
      <c r="I1924">
        <v>-155029.18589999998</v>
      </c>
      <c r="K1924">
        <v>317.03309999999999</v>
      </c>
      <c r="L1924">
        <v>-155029.18589999998</v>
      </c>
      <c r="M1924" t="s">
        <v>890</v>
      </c>
      <c r="N1924" t="s">
        <v>889</v>
      </c>
    </row>
    <row r="1925" spans="1:14" x14ac:dyDescent="0.25">
      <c r="A1925" s="18">
        <v>46164</v>
      </c>
      <c r="B1925" t="s">
        <v>319</v>
      </c>
      <c r="C1925" t="s">
        <v>784</v>
      </c>
      <c r="D1925" t="s">
        <v>58</v>
      </c>
      <c r="E1925" t="s">
        <v>59</v>
      </c>
      <c r="F1925" t="s">
        <v>21</v>
      </c>
      <c r="G1925">
        <v>-4200</v>
      </c>
      <c r="H1925">
        <v>36.299500000000002</v>
      </c>
      <c r="I1925">
        <v>152457.9</v>
      </c>
      <c r="K1925">
        <v>36.299500000000002</v>
      </c>
      <c r="L1925">
        <v>152457.9</v>
      </c>
      <c r="M1925" t="s">
        <v>58</v>
      </c>
      <c r="N1925" t="s">
        <v>784</v>
      </c>
    </row>
    <row r="1926" spans="1:14" x14ac:dyDescent="0.25">
      <c r="A1926" s="18">
        <v>46164</v>
      </c>
      <c r="B1926" t="s">
        <v>319</v>
      </c>
      <c r="C1926" t="s">
        <v>865</v>
      </c>
      <c r="D1926" t="s">
        <v>866</v>
      </c>
      <c r="E1926" t="s">
        <v>867</v>
      </c>
      <c r="F1926" t="s">
        <v>21</v>
      </c>
      <c r="G1926">
        <v>-1175</v>
      </c>
      <c r="H1926">
        <v>230.1045</v>
      </c>
      <c r="I1926">
        <v>270372.78749999998</v>
      </c>
      <c r="K1926">
        <v>230.10449999999997</v>
      </c>
      <c r="L1926">
        <v>270372.78749999998</v>
      </c>
      <c r="M1926" t="s">
        <v>866</v>
      </c>
      <c r="N1926" t="s">
        <v>865</v>
      </c>
    </row>
    <row r="1927" spans="1:14" x14ac:dyDescent="0.25">
      <c r="A1927" s="18">
        <v>46164</v>
      </c>
      <c r="B1927" t="s">
        <v>289</v>
      </c>
      <c r="C1927" t="s">
        <v>843</v>
      </c>
      <c r="D1927" t="s">
        <v>844</v>
      </c>
      <c r="E1927" t="s">
        <v>845</v>
      </c>
      <c r="F1927" t="s">
        <v>21</v>
      </c>
      <c r="G1927">
        <v>3</v>
      </c>
      <c r="H1927">
        <v>6028</v>
      </c>
      <c r="I1927">
        <v>-180840</v>
      </c>
      <c r="K1927">
        <v>6028</v>
      </c>
      <c r="L1927">
        <v>-180840</v>
      </c>
      <c r="M1927" t="s">
        <v>844</v>
      </c>
      <c r="N1927" t="s">
        <v>843</v>
      </c>
    </row>
    <row r="1928" spans="1:14" x14ac:dyDescent="0.25">
      <c r="A1928" s="18">
        <v>46167</v>
      </c>
      <c r="B1928" t="s">
        <v>289</v>
      </c>
      <c r="C1928" t="s">
        <v>874</v>
      </c>
      <c r="D1928" t="s">
        <v>875</v>
      </c>
      <c r="E1928" t="s">
        <v>876</v>
      </c>
      <c r="F1928" t="s">
        <v>21</v>
      </c>
      <c r="G1928">
        <v>500</v>
      </c>
      <c r="H1928">
        <v>204.2</v>
      </c>
      <c r="I1928">
        <v>-102100</v>
      </c>
      <c r="K1928">
        <v>204.2</v>
      </c>
      <c r="L1928">
        <v>-102100</v>
      </c>
      <c r="M1928" t="s">
        <v>875</v>
      </c>
      <c r="N1928" t="s">
        <v>874</v>
      </c>
    </row>
    <row r="1929" spans="1:14" x14ac:dyDescent="0.25">
      <c r="A1929" s="18">
        <v>46167</v>
      </c>
      <c r="B1929" t="s">
        <v>289</v>
      </c>
      <c r="C1929" t="s">
        <v>742</v>
      </c>
      <c r="D1929" t="s">
        <v>50</v>
      </c>
      <c r="E1929" t="s">
        <v>743</v>
      </c>
      <c r="F1929" t="s">
        <v>21</v>
      </c>
      <c r="G1929">
        <v>13110</v>
      </c>
      <c r="H1929">
        <v>11.646000000000001</v>
      </c>
      <c r="I1929">
        <v>-152679.06</v>
      </c>
      <c r="K1929">
        <v>11.645999999999999</v>
      </c>
      <c r="L1929">
        <v>-152679.06</v>
      </c>
      <c r="M1929" t="s">
        <v>50</v>
      </c>
      <c r="N1929" t="s">
        <v>742</v>
      </c>
    </row>
    <row r="1930" spans="1:14" x14ac:dyDescent="0.25">
      <c r="A1930" s="18">
        <v>46167</v>
      </c>
      <c r="B1930" t="s">
        <v>289</v>
      </c>
      <c r="C1930" t="s">
        <v>435</v>
      </c>
      <c r="D1930" t="s">
        <v>99</v>
      </c>
      <c r="E1930" t="s">
        <v>100</v>
      </c>
      <c r="F1930" t="s">
        <v>21</v>
      </c>
      <c r="G1930">
        <v>14400</v>
      </c>
      <c r="H1930">
        <v>10.682</v>
      </c>
      <c r="I1930">
        <v>-153820.80000000002</v>
      </c>
      <c r="K1930">
        <v>10.682</v>
      </c>
      <c r="L1930">
        <v>-153820.80000000002</v>
      </c>
      <c r="M1930" t="s">
        <v>99</v>
      </c>
      <c r="N1930" t="s">
        <v>435</v>
      </c>
    </row>
    <row r="1931" spans="1:14" x14ac:dyDescent="0.25">
      <c r="A1931" s="18">
        <v>46171</v>
      </c>
      <c r="B1931" t="s">
        <v>289</v>
      </c>
      <c r="C1931" t="s">
        <v>386</v>
      </c>
      <c r="D1931" t="s">
        <v>60</v>
      </c>
      <c r="E1931" t="s">
        <v>387</v>
      </c>
      <c r="F1931" t="s">
        <v>21</v>
      </c>
      <c r="G1931">
        <v>3820</v>
      </c>
      <c r="H1931">
        <v>58.7</v>
      </c>
      <c r="I1931">
        <v>-224234</v>
      </c>
      <c r="K1931">
        <v>58.7</v>
      </c>
      <c r="L1931">
        <v>-224234</v>
      </c>
      <c r="M1931" t="s">
        <v>60</v>
      </c>
      <c r="N1931" t="s">
        <v>386</v>
      </c>
    </row>
    <row r="1932" spans="1:14" x14ac:dyDescent="0.25">
      <c r="A1932" s="18">
        <v>46171</v>
      </c>
      <c r="B1932" t="s">
        <v>319</v>
      </c>
      <c r="C1932" t="s">
        <v>784</v>
      </c>
      <c r="D1932" t="s">
        <v>58</v>
      </c>
      <c r="E1932" t="s">
        <v>59</v>
      </c>
      <c r="F1932" t="s">
        <v>21</v>
      </c>
      <c r="G1932">
        <v>-6410</v>
      </c>
      <c r="H1932">
        <v>35.912799999999997</v>
      </c>
      <c r="I1932">
        <v>230201.04799999998</v>
      </c>
      <c r="K1932">
        <v>35.912799999999997</v>
      </c>
      <c r="L1932">
        <v>230201.04799999998</v>
      </c>
      <c r="M1932" t="s">
        <v>58</v>
      </c>
      <c r="N1932" t="s">
        <v>784</v>
      </c>
    </row>
    <row r="1933" spans="1:14" x14ac:dyDescent="0.25">
      <c r="A1933" s="18">
        <v>46175</v>
      </c>
      <c r="B1933" t="s">
        <v>289</v>
      </c>
      <c r="C1933" t="s">
        <v>435</v>
      </c>
      <c r="D1933" t="s">
        <v>99</v>
      </c>
      <c r="E1933" t="s">
        <v>100</v>
      </c>
      <c r="F1933" t="s">
        <v>21</v>
      </c>
      <c r="G1933">
        <v>9150</v>
      </c>
      <c r="H1933">
        <v>10.71</v>
      </c>
      <c r="I1933">
        <v>-97996.500000000015</v>
      </c>
      <c r="K1933">
        <v>10.71</v>
      </c>
      <c r="L1933">
        <v>-97996.500000000015</v>
      </c>
      <c r="M1933" t="s">
        <v>99</v>
      </c>
      <c r="N1933" t="s">
        <v>435</v>
      </c>
    </row>
    <row r="1934" spans="1:14" x14ac:dyDescent="0.25">
      <c r="A1934" s="18">
        <v>46175</v>
      </c>
      <c r="B1934" t="s">
        <v>289</v>
      </c>
      <c r="C1934" t="s">
        <v>742</v>
      </c>
      <c r="D1934" t="s">
        <v>50</v>
      </c>
      <c r="E1934" t="s">
        <v>743</v>
      </c>
      <c r="F1934" t="s">
        <v>21</v>
      </c>
      <c r="G1934">
        <v>8400</v>
      </c>
      <c r="H1934">
        <v>11.646000000000001</v>
      </c>
      <c r="I1934">
        <v>-97826.400000000009</v>
      </c>
      <c r="K1934">
        <v>11.646000000000001</v>
      </c>
      <c r="L1934">
        <v>-97826.400000000009</v>
      </c>
      <c r="M1934" t="s">
        <v>50</v>
      </c>
      <c r="N1934" t="s">
        <v>742</v>
      </c>
    </row>
    <row r="1935" spans="1:14" x14ac:dyDescent="0.25">
      <c r="A1935" s="18">
        <v>46175</v>
      </c>
      <c r="B1935" t="s">
        <v>319</v>
      </c>
      <c r="C1935" t="s">
        <v>874</v>
      </c>
      <c r="D1935" t="s">
        <v>875</v>
      </c>
      <c r="E1935" t="s">
        <v>876</v>
      </c>
      <c r="F1935" t="s">
        <v>21</v>
      </c>
      <c r="G1935">
        <v>-1000</v>
      </c>
      <c r="H1935">
        <v>197.28489999999999</v>
      </c>
      <c r="I1935">
        <v>197284.9</v>
      </c>
      <c r="K1935">
        <v>197.28489999999999</v>
      </c>
      <c r="L1935">
        <v>197284.9</v>
      </c>
      <c r="M1935" t="s">
        <v>875</v>
      </c>
      <c r="N1935" t="s">
        <v>874</v>
      </c>
    </row>
    <row r="1936" spans="1:14" x14ac:dyDescent="0.25">
      <c r="A1936" s="18">
        <v>46176</v>
      </c>
      <c r="B1936" t="s">
        <v>319</v>
      </c>
      <c r="C1936" t="s">
        <v>633</v>
      </c>
      <c r="D1936" t="s">
        <v>634</v>
      </c>
      <c r="E1936" t="s">
        <v>281</v>
      </c>
      <c r="F1936" t="s">
        <v>21</v>
      </c>
      <c r="G1936">
        <v>-5490</v>
      </c>
      <c r="H1936">
        <v>49.417999999999999</v>
      </c>
      <c r="I1936">
        <v>271304.82</v>
      </c>
      <c r="K1936">
        <v>49.417999999999999</v>
      </c>
      <c r="L1936">
        <v>271304.82</v>
      </c>
      <c r="M1936" t="s">
        <v>634</v>
      </c>
      <c r="N1936" t="s">
        <v>633</v>
      </c>
    </row>
    <row r="1937" spans="1:14" x14ac:dyDescent="0.25">
      <c r="A1937" s="18">
        <v>46176</v>
      </c>
      <c r="B1937" t="s">
        <v>319</v>
      </c>
      <c r="C1937" t="s">
        <v>892</v>
      </c>
      <c r="D1937" t="s">
        <v>138</v>
      </c>
      <c r="E1937" t="s">
        <v>893</v>
      </c>
      <c r="F1937" t="s">
        <v>21</v>
      </c>
      <c r="G1937">
        <v>-8</v>
      </c>
      <c r="H1937">
        <v>125.83</v>
      </c>
      <c r="I1937">
        <v>1006640</v>
      </c>
      <c r="K1937">
        <v>125.83</v>
      </c>
      <c r="L1937">
        <v>1006640</v>
      </c>
      <c r="M1937" t="s">
        <v>138</v>
      </c>
      <c r="N1937" t="s">
        <v>892</v>
      </c>
    </row>
    <row r="1938" spans="1:14" x14ac:dyDescent="0.25">
      <c r="A1938" s="18">
        <v>46176</v>
      </c>
      <c r="B1938" t="s">
        <v>289</v>
      </c>
      <c r="C1938" t="s">
        <v>799</v>
      </c>
      <c r="D1938" t="s">
        <v>800</v>
      </c>
      <c r="E1938" t="s">
        <v>801</v>
      </c>
      <c r="F1938" t="s">
        <v>21</v>
      </c>
      <c r="G1938">
        <v>8</v>
      </c>
      <c r="H1938">
        <v>125.76</v>
      </c>
      <c r="I1938">
        <v>-1006080</v>
      </c>
      <c r="K1938">
        <v>125.76</v>
      </c>
      <c r="L1938">
        <v>-1006080</v>
      </c>
      <c r="M1938" t="s">
        <v>800</v>
      </c>
      <c r="N1938" t="s">
        <v>799</v>
      </c>
    </row>
    <row r="1939" spans="1:14" x14ac:dyDescent="0.25">
      <c r="A1939" s="18">
        <v>46176</v>
      </c>
      <c r="B1939" t="s">
        <v>319</v>
      </c>
      <c r="C1939" t="s">
        <v>894</v>
      </c>
      <c r="D1939" t="s">
        <v>140</v>
      </c>
      <c r="E1939" t="s">
        <v>895</v>
      </c>
      <c r="F1939" t="s">
        <v>21</v>
      </c>
      <c r="G1939">
        <v>-12</v>
      </c>
      <c r="H1939">
        <v>119.07</v>
      </c>
      <c r="I1939">
        <v>1428840</v>
      </c>
      <c r="K1939">
        <v>119.07</v>
      </c>
      <c r="L1939">
        <v>1428840</v>
      </c>
      <c r="M1939" t="s">
        <v>140</v>
      </c>
      <c r="N1939" t="s">
        <v>894</v>
      </c>
    </row>
    <row r="1940" spans="1:14" x14ac:dyDescent="0.25">
      <c r="A1940" s="18">
        <v>46176</v>
      </c>
      <c r="B1940" t="s">
        <v>289</v>
      </c>
      <c r="C1940" t="s">
        <v>796</v>
      </c>
      <c r="D1940" t="s">
        <v>797</v>
      </c>
      <c r="E1940" t="s">
        <v>798</v>
      </c>
      <c r="F1940" t="s">
        <v>21</v>
      </c>
      <c r="G1940">
        <v>12</v>
      </c>
      <c r="H1940">
        <v>119.95</v>
      </c>
      <c r="I1940">
        <v>-1439400</v>
      </c>
      <c r="K1940">
        <v>119.95</v>
      </c>
      <c r="L1940">
        <v>-1439400</v>
      </c>
      <c r="M1940" t="s">
        <v>797</v>
      </c>
      <c r="N1940" t="s">
        <v>796</v>
      </c>
    </row>
    <row r="1941" spans="1:14" x14ac:dyDescent="0.25">
      <c r="A1941" s="18">
        <v>46176</v>
      </c>
      <c r="B1941" t="s">
        <v>319</v>
      </c>
      <c r="C1941" t="s">
        <v>805</v>
      </c>
      <c r="D1941" t="s">
        <v>806</v>
      </c>
      <c r="E1941" t="s">
        <v>807</v>
      </c>
      <c r="F1941" t="s">
        <v>21</v>
      </c>
      <c r="G1941">
        <v>-6</v>
      </c>
      <c r="H1941">
        <v>122.1383333333</v>
      </c>
      <c r="I1941">
        <v>732829.9999998</v>
      </c>
      <c r="K1941">
        <v>122.13833333330001</v>
      </c>
      <c r="L1941">
        <v>732829.9999998</v>
      </c>
      <c r="M1941" t="s">
        <v>806</v>
      </c>
      <c r="N1941" t="s">
        <v>805</v>
      </c>
    </row>
    <row r="1942" spans="1:14" x14ac:dyDescent="0.25">
      <c r="A1942" s="18">
        <v>46176</v>
      </c>
      <c r="B1942" t="s">
        <v>289</v>
      </c>
      <c r="C1942" t="s">
        <v>896</v>
      </c>
      <c r="D1942" t="s">
        <v>144</v>
      </c>
      <c r="E1942" t="s">
        <v>897</v>
      </c>
      <c r="F1942" t="s">
        <v>21</v>
      </c>
      <c r="G1942">
        <v>6</v>
      </c>
      <c r="H1942">
        <v>121.3583333333</v>
      </c>
      <c r="I1942">
        <v>-728149.9999998</v>
      </c>
      <c r="K1942">
        <v>121.35833333330001</v>
      </c>
      <c r="L1942">
        <v>-728149.9999998</v>
      </c>
      <c r="M1942" t="s">
        <v>144</v>
      </c>
      <c r="N1942" t="s">
        <v>896</v>
      </c>
    </row>
    <row r="1943" spans="1:14" x14ac:dyDescent="0.25">
      <c r="A1943" s="18">
        <v>46177</v>
      </c>
      <c r="B1943" t="s">
        <v>289</v>
      </c>
      <c r="C1943" t="s">
        <v>342</v>
      </c>
      <c r="D1943" t="s">
        <v>343</v>
      </c>
      <c r="E1943" t="s">
        <v>282</v>
      </c>
      <c r="F1943" t="s">
        <v>21</v>
      </c>
      <c r="G1943">
        <v>1940</v>
      </c>
      <c r="H1943">
        <v>77.452299999999994</v>
      </c>
      <c r="I1943">
        <v>-150257.462</v>
      </c>
      <c r="K1943">
        <v>77.452299999999994</v>
      </c>
      <c r="L1943">
        <v>-150257.462</v>
      </c>
      <c r="M1943" t="s">
        <v>343</v>
      </c>
      <c r="N1943" t="s">
        <v>342</v>
      </c>
    </row>
    <row r="1944" spans="1:14" x14ac:dyDescent="0.25">
      <c r="A1944" s="18">
        <v>46177</v>
      </c>
      <c r="B1944" t="s">
        <v>319</v>
      </c>
      <c r="C1944" t="s">
        <v>889</v>
      </c>
      <c r="D1944" t="s">
        <v>890</v>
      </c>
      <c r="E1944" t="s">
        <v>891</v>
      </c>
      <c r="F1944" t="s">
        <v>49</v>
      </c>
      <c r="G1944">
        <v>-489</v>
      </c>
      <c r="H1944">
        <v>281.58449999999999</v>
      </c>
      <c r="I1944">
        <v>137694.8205</v>
      </c>
      <c r="K1944">
        <v>281.58449999999999</v>
      </c>
      <c r="L1944">
        <v>137694.8205</v>
      </c>
      <c r="M1944" t="s">
        <v>890</v>
      </c>
      <c r="N1944" t="s">
        <v>889</v>
      </c>
    </row>
    <row r="1945" spans="1:14" x14ac:dyDescent="0.25">
      <c r="A1945" s="18">
        <v>46177</v>
      </c>
      <c r="B1945" t="s">
        <v>289</v>
      </c>
      <c r="C1945" t="s">
        <v>314</v>
      </c>
      <c r="D1945" t="s">
        <v>315</v>
      </c>
      <c r="E1945" t="s">
        <v>362</v>
      </c>
      <c r="F1945" t="s">
        <v>21</v>
      </c>
      <c r="G1945">
        <v>6250</v>
      </c>
      <c r="H1945">
        <v>24.0627</v>
      </c>
      <c r="I1945">
        <v>-150391.875</v>
      </c>
      <c r="K1945">
        <v>24.0627</v>
      </c>
      <c r="L1945">
        <v>-150391.875</v>
      </c>
      <c r="M1945" t="s">
        <v>315</v>
      </c>
      <c r="N1945" t="s">
        <v>314</v>
      </c>
    </row>
    <row r="1946" spans="1:14" x14ac:dyDescent="0.25">
      <c r="A1946" s="18">
        <v>46177</v>
      </c>
      <c r="B1946" t="s">
        <v>289</v>
      </c>
      <c r="C1946" t="s">
        <v>424</v>
      </c>
      <c r="D1946" t="s">
        <v>41</v>
      </c>
      <c r="E1946" t="s">
        <v>42</v>
      </c>
      <c r="F1946" t="s">
        <v>36</v>
      </c>
      <c r="G1946">
        <v>4129</v>
      </c>
      <c r="H1946">
        <v>12.6768</v>
      </c>
      <c r="I1946">
        <v>-52342.5072</v>
      </c>
      <c r="K1946">
        <v>12.6768</v>
      </c>
      <c r="L1946">
        <v>-52342.5072</v>
      </c>
      <c r="M1946" t="s">
        <v>41</v>
      </c>
      <c r="N1946" t="s">
        <v>424</v>
      </c>
    </row>
    <row r="1947" spans="1:14" x14ac:dyDescent="0.25">
      <c r="A1947" s="18">
        <v>46177</v>
      </c>
      <c r="B1947" t="s">
        <v>289</v>
      </c>
      <c r="C1947" t="s">
        <v>771</v>
      </c>
      <c r="D1947" t="s">
        <v>89</v>
      </c>
      <c r="E1947" t="s">
        <v>90</v>
      </c>
      <c r="F1947" t="s">
        <v>21</v>
      </c>
      <c r="G1947">
        <v>750</v>
      </c>
      <c r="H1947">
        <v>79.927300000000002</v>
      </c>
      <c r="I1947">
        <v>-59945.474999999999</v>
      </c>
      <c r="K1947">
        <v>79.927300000000002</v>
      </c>
      <c r="L1947">
        <v>-59945.474999999999</v>
      </c>
      <c r="M1947" t="s">
        <v>89</v>
      </c>
      <c r="N1947" t="s">
        <v>771</v>
      </c>
    </row>
    <row r="1948" spans="1:14" x14ac:dyDescent="0.25">
      <c r="A1948" s="18">
        <v>46177</v>
      </c>
      <c r="B1948" t="s">
        <v>319</v>
      </c>
      <c r="C1948" t="s">
        <v>294</v>
      </c>
      <c r="D1948" t="s">
        <v>80</v>
      </c>
      <c r="E1948" t="s">
        <v>505</v>
      </c>
      <c r="F1948" t="s">
        <v>82</v>
      </c>
      <c r="G1948">
        <v>-3629</v>
      </c>
      <c r="H1948">
        <v>76.0334</v>
      </c>
      <c r="I1948">
        <v>275925.20860000001</v>
      </c>
      <c r="K1948">
        <v>76.0334</v>
      </c>
      <c r="L1948">
        <v>275925.20860000001</v>
      </c>
      <c r="M1948" t="s">
        <v>80</v>
      </c>
      <c r="N1948" t="s">
        <v>294</v>
      </c>
    </row>
    <row r="1949" spans="1:14" x14ac:dyDescent="0.25">
      <c r="A1949" s="18">
        <v>46178</v>
      </c>
      <c r="B1949" t="s">
        <v>289</v>
      </c>
      <c r="C1949" t="s">
        <v>886</v>
      </c>
      <c r="D1949" t="s">
        <v>887</v>
      </c>
      <c r="E1949" t="s">
        <v>888</v>
      </c>
      <c r="F1949" t="s">
        <v>49</v>
      </c>
      <c r="G1949">
        <v>275</v>
      </c>
      <c r="H1949">
        <v>292.45999999999998</v>
      </c>
      <c r="I1949">
        <v>-80426.5</v>
      </c>
      <c r="K1949">
        <v>292.45999999999998</v>
      </c>
      <c r="L1949">
        <v>-80426.5</v>
      </c>
      <c r="M1949" t="s">
        <v>887</v>
      </c>
      <c r="N1949" t="s">
        <v>886</v>
      </c>
    </row>
    <row r="1950" spans="1:14" x14ac:dyDescent="0.25">
      <c r="A1950" s="18">
        <v>46178</v>
      </c>
      <c r="B1950" t="s">
        <v>319</v>
      </c>
      <c r="C1950" t="s">
        <v>883</v>
      </c>
      <c r="D1950" t="s">
        <v>884</v>
      </c>
      <c r="E1950" t="s">
        <v>885</v>
      </c>
      <c r="F1950" t="s">
        <v>49</v>
      </c>
      <c r="G1950">
        <v>-99</v>
      </c>
      <c r="H1950">
        <v>1629.89</v>
      </c>
      <c r="I1950">
        <v>161359.11000000002</v>
      </c>
      <c r="K1950">
        <v>1629.89</v>
      </c>
      <c r="L1950">
        <v>161359.11000000002</v>
      </c>
      <c r="M1950" t="s">
        <v>884</v>
      </c>
      <c r="N1950" t="s">
        <v>883</v>
      </c>
    </row>
    <row r="1951" spans="1:14" x14ac:dyDescent="0.25">
      <c r="A1951" s="18">
        <v>46178</v>
      </c>
      <c r="B1951" t="s">
        <v>289</v>
      </c>
      <c r="C1951" t="s">
        <v>578</v>
      </c>
      <c r="D1951" t="s">
        <v>74</v>
      </c>
      <c r="E1951" t="s">
        <v>75</v>
      </c>
      <c r="F1951" t="s">
        <v>36</v>
      </c>
      <c r="G1951">
        <v>34510</v>
      </c>
      <c r="H1951">
        <v>1.8255999999999999</v>
      </c>
      <c r="I1951">
        <v>-63001.455999999998</v>
      </c>
      <c r="K1951">
        <v>1.8255999999999999</v>
      </c>
      <c r="L1951">
        <v>-63001.455999999998</v>
      </c>
      <c r="M1951" t="s">
        <v>74</v>
      </c>
      <c r="N1951" t="s">
        <v>578</v>
      </c>
    </row>
    <row r="1952" spans="1:14" x14ac:dyDescent="0.25">
      <c r="A1952" s="18">
        <v>46178</v>
      </c>
      <c r="B1952" t="s">
        <v>289</v>
      </c>
      <c r="C1952" t="s">
        <v>339</v>
      </c>
      <c r="D1952" t="s">
        <v>340</v>
      </c>
      <c r="E1952" t="s">
        <v>341</v>
      </c>
      <c r="F1952" t="s">
        <v>21</v>
      </c>
      <c r="G1952">
        <v>560</v>
      </c>
      <c r="H1952">
        <v>179.3</v>
      </c>
      <c r="I1952">
        <v>-100408</v>
      </c>
      <c r="K1952">
        <v>179.3</v>
      </c>
      <c r="L1952">
        <v>-100408</v>
      </c>
      <c r="M1952" t="s">
        <v>340</v>
      </c>
      <c r="N1952" t="s">
        <v>339</v>
      </c>
    </row>
    <row r="1953" spans="1:14" x14ac:dyDescent="0.25">
      <c r="A1953" s="18">
        <v>46178</v>
      </c>
      <c r="B1953" t="s">
        <v>289</v>
      </c>
      <c r="C1953" t="s">
        <v>493</v>
      </c>
      <c r="D1953" t="s">
        <v>28</v>
      </c>
      <c r="E1953" t="s">
        <v>29</v>
      </c>
      <c r="F1953" t="s">
        <v>21</v>
      </c>
      <c r="G1953">
        <v>355</v>
      </c>
      <c r="H1953">
        <v>270.89780000000002</v>
      </c>
      <c r="I1953">
        <v>-96168.719000000012</v>
      </c>
      <c r="K1953">
        <v>270.89780000000002</v>
      </c>
      <c r="L1953">
        <v>-96168.719000000012</v>
      </c>
      <c r="M1953" t="s">
        <v>28</v>
      </c>
      <c r="N1953" t="s">
        <v>493</v>
      </c>
    </row>
    <row r="1954" spans="1:14" x14ac:dyDescent="0.25">
      <c r="A1954" s="18">
        <v>46178</v>
      </c>
      <c r="B1954" t="s">
        <v>319</v>
      </c>
      <c r="C1954" t="s">
        <v>770</v>
      </c>
      <c r="D1954" t="s">
        <v>34</v>
      </c>
      <c r="E1954" t="s">
        <v>35</v>
      </c>
      <c r="F1954" t="s">
        <v>36</v>
      </c>
      <c r="G1954">
        <v>-3320</v>
      </c>
      <c r="H1954">
        <v>76.618700000000004</v>
      </c>
      <c r="I1954">
        <v>254374.084</v>
      </c>
      <c r="K1954">
        <v>76.618700000000004</v>
      </c>
      <c r="L1954">
        <v>254374.084</v>
      </c>
      <c r="M1954" t="s">
        <v>34</v>
      </c>
      <c r="N1954" t="s">
        <v>770</v>
      </c>
    </row>
    <row r="1955" spans="1:14" x14ac:dyDescent="0.25">
      <c r="A1955" s="18">
        <v>46178</v>
      </c>
      <c r="B1955" t="s">
        <v>289</v>
      </c>
      <c r="C1955" t="s">
        <v>314</v>
      </c>
      <c r="D1955" t="s">
        <v>315</v>
      </c>
      <c r="E1955" t="s">
        <v>362</v>
      </c>
      <c r="F1955" t="s">
        <v>21</v>
      </c>
      <c r="G1955">
        <v>4200</v>
      </c>
      <c r="H1955">
        <v>23.886299999999999</v>
      </c>
      <c r="I1955">
        <v>-100322.45999999999</v>
      </c>
      <c r="K1955">
        <v>23.886299999999999</v>
      </c>
      <c r="L1955">
        <v>-100322.45999999999</v>
      </c>
      <c r="M1955" t="s">
        <v>315</v>
      </c>
      <c r="N1955" t="s">
        <v>314</v>
      </c>
    </row>
    <row r="1956" spans="1:14" x14ac:dyDescent="0.25">
      <c r="A1956" s="18">
        <v>46182</v>
      </c>
      <c r="B1956" t="s">
        <v>289</v>
      </c>
      <c r="C1956" t="s">
        <v>808</v>
      </c>
      <c r="D1956" t="s">
        <v>809</v>
      </c>
      <c r="E1956" t="s">
        <v>810</v>
      </c>
      <c r="F1956" t="s">
        <v>137</v>
      </c>
      <c r="G1956">
        <v>7</v>
      </c>
      <c r="H1956">
        <v>184.8</v>
      </c>
      <c r="I1956">
        <v>-161700000.00000003</v>
      </c>
      <c r="K1956">
        <v>184.80000000000004</v>
      </c>
      <c r="L1956">
        <v>-161700000.00000003</v>
      </c>
      <c r="M1956" t="s">
        <v>809</v>
      </c>
      <c r="N1956" t="s">
        <v>808</v>
      </c>
    </row>
    <row r="1957" spans="1:14" x14ac:dyDescent="0.25">
      <c r="A1957" s="18">
        <v>46182</v>
      </c>
      <c r="B1957" t="s">
        <v>319</v>
      </c>
      <c r="C1957" t="s">
        <v>898</v>
      </c>
      <c r="D1957" t="s">
        <v>899</v>
      </c>
      <c r="E1957" t="s">
        <v>900</v>
      </c>
      <c r="F1957" t="s">
        <v>137</v>
      </c>
      <c r="G1957">
        <v>-7</v>
      </c>
      <c r="H1957">
        <v>184.13</v>
      </c>
      <c r="I1957" t="e">
        <v>#VALUE!</v>
      </c>
      <c r="K1957" t="e">
        <v>#VALUE!</v>
      </c>
      <c r="L1957" t="e">
        <v>#VALUE!</v>
      </c>
      <c r="M1957" t="s">
        <v>899</v>
      </c>
      <c r="N1957" t="s">
        <v>898</v>
      </c>
    </row>
    <row r="1958" spans="1:14" x14ac:dyDescent="0.25">
      <c r="A1958" s="18">
        <v>46182</v>
      </c>
      <c r="B1958" t="s">
        <v>289</v>
      </c>
      <c r="C1958" t="s">
        <v>342</v>
      </c>
      <c r="D1958" t="s">
        <v>343</v>
      </c>
      <c r="E1958" t="s">
        <v>282</v>
      </c>
      <c r="F1958" t="s">
        <v>21</v>
      </c>
      <c r="G1958">
        <v>1300</v>
      </c>
      <c r="H1958">
        <v>74.653400000000005</v>
      </c>
      <c r="I1958">
        <v>-97049.420000000013</v>
      </c>
      <c r="K1958">
        <v>74.653400000000005</v>
      </c>
      <c r="L1958">
        <v>-97049.420000000013</v>
      </c>
      <c r="M1958" t="s">
        <v>343</v>
      </c>
      <c r="N1958" t="s">
        <v>342</v>
      </c>
    </row>
    <row r="1959" spans="1:14" x14ac:dyDescent="0.25">
      <c r="A1959" s="18">
        <v>46182</v>
      </c>
      <c r="B1959" t="s">
        <v>289</v>
      </c>
      <c r="C1959" t="s">
        <v>484</v>
      </c>
      <c r="D1959" t="s">
        <v>30</v>
      </c>
      <c r="E1959" t="s">
        <v>31</v>
      </c>
      <c r="F1959" t="s">
        <v>21</v>
      </c>
      <c r="G1959">
        <v>328</v>
      </c>
      <c r="H1959">
        <v>146.42740000000001</v>
      </c>
      <c r="I1959">
        <v>-48028.1872</v>
      </c>
      <c r="K1959">
        <v>146.42740000000001</v>
      </c>
      <c r="L1959">
        <v>-48028.1872</v>
      </c>
      <c r="M1959" t="s">
        <v>30</v>
      </c>
      <c r="N1959" t="s">
        <v>484</v>
      </c>
    </row>
    <row r="1960" spans="1:14" x14ac:dyDescent="0.25">
      <c r="A1960" s="18">
        <v>46182</v>
      </c>
      <c r="B1960" t="s">
        <v>319</v>
      </c>
      <c r="C1960" t="s">
        <v>477</v>
      </c>
      <c r="D1960" t="s">
        <v>478</v>
      </c>
      <c r="E1960" t="s">
        <v>277</v>
      </c>
      <c r="F1960" t="s">
        <v>157</v>
      </c>
      <c r="G1960">
        <v>-6500</v>
      </c>
      <c r="H1960">
        <v>172.3151</v>
      </c>
      <c r="I1960">
        <v>1120048.1499999999</v>
      </c>
      <c r="K1960">
        <v>172.31509999999997</v>
      </c>
      <c r="L1960">
        <v>1120048.1499999999</v>
      </c>
      <c r="M1960" t="s">
        <v>478</v>
      </c>
      <c r="N1960" t="s">
        <v>477</v>
      </c>
    </row>
    <row r="1961" spans="1:14" x14ac:dyDescent="0.25">
      <c r="A1961" s="18">
        <v>46182</v>
      </c>
      <c r="B1961" t="s">
        <v>319</v>
      </c>
      <c r="C1961" t="s">
        <v>901</v>
      </c>
      <c r="D1961" t="s">
        <v>902</v>
      </c>
      <c r="E1961" t="s">
        <v>903</v>
      </c>
      <c r="F1961" t="s">
        <v>49</v>
      </c>
      <c r="G1961">
        <v>-1</v>
      </c>
      <c r="H1961">
        <v>28982.5</v>
      </c>
      <c r="I1961" t="e">
        <v>#VALUE!</v>
      </c>
      <c r="K1961" t="e">
        <v>#VALUE!</v>
      </c>
      <c r="L1961" t="e">
        <v>#VALUE!</v>
      </c>
      <c r="M1961" t="s">
        <v>902</v>
      </c>
      <c r="N1961" t="s">
        <v>901</v>
      </c>
    </row>
    <row r="1962" spans="1:14" x14ac:dyDescent="0.25">
      <c r="A1962" s="18">
        <v>46182</v>
      </c>
      <c r="B1962" t="s">
        <v>319</v>
      </c>
      <c r="C1962" t="s">
        <v>886</v>
      </c>
      <c r="D1962" t="s">
        <v>887</v>
      </c>
      <c r="E1962" t="s">
        <v>888</v>
      </c>
      <c r="F1962" t="s">
        <v>49</v>
      </c>
      <c r="G1962">
        <v>-1074</v>
      </c>
      <c r="H1962">
        <v>251.20259999999999</v>
      </c>
      <c r="I1962">
        <v>269791.59239999996</v>
      </c>
      <c r="K1962">
        <v>251.20259999999996</v>
      </c>
      <c r="L1962">
        <v>269791.59239999996</v>
      </c>
      <c r="M1962" t="s">
        <v>887</v>
      </c>
      <c r="N1962" t="s">
        <v>886</v>
      </c>
    </row>
    <row r="1963" spans="1:14" x14ac:dyDescent="0.25">
      <c r="A1963" s="18">
        <v>46183</v>
      </c>
      <c r="B1963" t="s">
        <v>319</v>
      </c>
      <c r="C1963" t="s">
        <v>764</v>
      </c>
      <c r="D1963" t="s">
        <v>765</v>
      </c>
      <c r="E1963" t="s">
        <v>766</v>
      </c>
      <c r="F1963" t="s">
        <v>36</v>
      </c>
      <c r="G1963">
        <v>-4225</v>
      </c>
      <c r="H1963">
        <v>38.4848</v>
      </c>
      <c r="I1963">
        <v>162598.28</v>
      </c>
      <c r="K1963">
        <v>38.4848</v>
      </c>
      <c r="L1963">
        <v>162598.28</v>
      </c>
      <c r="M1963" t="s">
        <v>765</v>
      </c>
      <c r="N1963" t="s">
        <v>764</v>
      </c>
    </row>
    <row r="1964" spans="1:14" x14ac:dyDescent="0.25">
      <c r="A1964" s="18">
        <v>46183</v>
      </c>
      <c r="B1964" t="s">
        <v>319</v>
      </c>
      <c r="C1964" t="s">
        <v>814</v>
      </c>
      <c r="D1964" t="s">
        <v>815</v>
      </c>
      <c r="E1964" t="s">
        <v>816</v>
      </c>
      <c r="F1964" t="s">
        <v>21</v>
      </c>
      <c r="G1964">
        <v>-340</v>
      </c>
      <c r="H1964">
        <v>437.34</v>
      </c>
      <c r="I1964">
        <v>148695.6</v>
      </c>
      <c r="K1964">
        <v>437.34000000000003</v>
      </c>
      <c r="L1964">
        <v>148695.6</v>
      </c>
      <c r="M1964" t="s">
        <v>815</v>
      </c>
      <c r="N1964" t="s">
        <v>814</v>
      </c>
    </row>
    <row r="1965" spans="1:14" x14ac:dyDescent="0.25">
      <c r="A1965" s="18">
        <v>46183</v>
      </c>
      <c r="B1965" t="s">
        <v>289</v>
      </c>
      <c r="C1965" t="s">
        <v>843</v>
      </c>
      <c r="D1965" t="s">
        <v>844</v>
      </c>
      <c r="E1965" t="s">
        <v>845</v>
      </c>
      <c r="F1965" t="s">
        <v>21</v>
      </c>
      <c r="G1965">
        <v>2</v>
      </c>
      <c r="H1965">
        <v>6067</v>
      </c>
      <c r="I1965">
        <v>-121340</v>
      </c>
      <c r="K1965">
        <v>6067</v>
      </c>
      <c r="L1965">
        <v>-121340</v>
      </c>
      <c r="M1965" t="s">
        <v>844</v>
      </c>
      <c r="N1965" t="s">
        <v>843</v>
      </c>
    </row>
    <row r="1966" spans="1:14" x14ac:dyDescent="0.25">
      <c r="A1966" s="18">
        <v>46183</v>
      </c>
      <c r="B1966" t="s">
        <v>319</v>
      </c>
      <c r="C1966" t="s">
        <v>770</v>
      </c>
      <c r="D1966" t="s">
        <v>34</v>
      </c>
      <c r="E1966" t="s">
        <v>35</v>
      </c>
      <c r="F1966" t="s">
        <v>36</v>
      </c>
      <c r="G1966">
        <v>-2311</v>
      </c>
      <c r="H1966">
        <v>75.295000000000002</v>
      </c>
      <c r="I1966">
        <v>174006.745</v>
      </c>
      <c r="K1966">
        <v>75.295000000000002</v>
      </c>
      <c r="L1966">
        <v>174006.745</v>
      </c>
      <c r="M1966" t="s">
        <v>34</v>
      </c>
      <c r="N1966" t="s">
        <v>770</v>
      </c>
    </row>
    <row r="1967" spans="1:14" x14ac:dyDescent="0.25">
      <c r="A1967" s="18">
        <v>46183</v>
      </c>
      <c r="B1967" t="s">
        <v>289</v>
      </c>
      <c r="C1967" t="s">
        <v>904</v>
      </c>
      <c r="D1967" t="s">
        <v>72</v>
      </c>
      <c r="E1967" t="s">
        <v>73</v>
      </c>
      <c r="F1967" t="s">
        <v>21</v>
      </c>
      <c r="G1967">
        <v>4170</v>
      </c>
      <c r="H1967">
        <v>48.3264</v>
      </c>
      <c r="I1967">
        <v>-201521.08799999999</v>
      </c>
      <c r="K1967">
        <v>48.3264</v>
      </c>
      <c r="L1967">
        <v>-201521.08799999999</v>
      </c>
      <c r="M1967" t="s">
        <v>72</v>
      </c>
      <c r="N1967" t="s">
        <v>904</v>
      </c>
    </row>
    <row r="1968" spans="1:14" x14ac:dyDescent="0.25">
      <c r="A1968" s="18">
        <v>46183</v>
      </c>
      <c r="B1968" t="s">
        <v>319</v>
      </c>
      <c r="C1968" t="s">
        <v>361</v>
      </c>
      <c r="D1968" t="s">
        <v>93</v>
      </c>
      <c r="E1968" t="s">
        <v>94</v>
      </c>
      <c r="F1968" t="s">
        <v>21</v>
      </c>
      <c r="G1968">
        <v>-1000</v>
      </c>
      <c r="H1968">
        <v>145.84</v>
      </c>
      <c r="I1968">
        <v>145840</v>
      </c>
      <c r="K1968">
        <v>145.84</v>
      </c>
      <c r="L1968">
        <v>145840</v>
      </c>
      <c r="M1968" t="s">
        <v>93</v>
      </c>
      <c r="N1968" t="s">
        <v>361</v>
      </c>
    </row>
    <row r="1969" spans="1:14" x14ac:dyDescent="0.25">
      <c r="A1969" s="18">
        <v>46183</v>
      </c>
      <c r="B1969" t="s">
        <v>319</v>
      </c>
      <c r="C1969" t="s">
        <v>894</v>
      </c>
      <c r="D1969" t="s">
        <v>140</v>
      </c>
      <c r="E1969" t="s">
        <v>895</v>
      </c>
      <c r="F1969" t="s">
        <v>21</v>
      </c>
      <c r="G1969">
        <v>-3</v>
      </c>
      <c r="H1969">
        <v>118.31</v>
      </c>
      <c r="I1969">
        <v>354930</v>
      </c>
      <c r="K1969">
        <v>118.31</v>
      </c>
      <c r="L1969">
        <v>354930</v>
      </c>
      <c r="M1969" t="s">
        <v>140</v>
      </c>
      <c r="N1969" t="s">
        <v>894</v>
      </c>
    </row>
    <row r="1970" spans="1:14" x14ac:dyDescent="0.25">
      <c r="A1970" s="18">
        <v>46183</v>
      </c>
      <c r="B1970" t="s">
        <v>319</v>
      </c>
      <c r="C1970" t="s">
        <v>746</v>
      </c>
      <c r="D1970" t="s">
        <v>52</v>
      </c>
      <c r="E1970" t="s">
        <v>53</v>
      </c>
      <c r="F1970" t="s">
        <v>21</v>
      </c>
      <c r="G1970">
        <v>-3500</v>
      </c>
      <c r="H1970">
        <v>51.848199999999999</v>
      </c>
      <c r="I1970">
        <v>181468.69999999998</v>
      </c>
      <c r="K1970">
        <v>51.848199999999999</v>
      </c>
      <c r="L1970">
        <v>181468.69999999998</v>
      </c>
      <c r="M1970" t="s">
        <v>52</v>
      </c>
      <c r="N1970" t="s">
        <v>746</v>
      </c>
    </row>
    <row r="1971" spans="1:14" x14ac:dyDescent="0.25">
      <c r="A1971" s="18">
        <v>46183</v>
      </c>
      <c r="B1971" t="s">
        <v>319</v>
      </c>
      <c r="C1971" t="s">
        <v>860</v>
      </c>
      <c r="D1971" t="s">
        <v>43</v>
      </c>
      <c r="E1971" t="s">
        <v>795</v>
      </c>
      <c r="F1971" t="s">
        <v>36</v>
      </c>
      <c r="G1971">
        <v>-4100</v>
      </c>
      <c r="H1971">
        <v>32.0167</v>
      </c>
      <c r="I1971">
        <v>131268.47</v>
      </c>
      <c r="K1971">
        <v>32.0167</v>
      </c>
      <c r="L1971">
        <v>131268.47</v>
      </c>
      <c r="M1971" t="s">
        <v>43</v>
      </c>
      <c r="N1971" t="s">
        <v>860</v>
      </c>
    </row>
    <row r="1972" spans="1:14" x14ac:dyDescent="0.25">
      <c r="A1972" s="18">
        <v>46184</v>
      </c>
      <c r="B1972" t="s">
        <v>289</v>
      </c>
      <c r="C1972" t="s">
        <v>905</v>
      </c>
      <c r="D1972" t="s">
        <v>97</v>
      </c>
      <c r="E1972" t="s">
        <v>98</v>
      </c>
      <c r="F1972" t="s">
        <v>21</v>
      </c>
      <c r="G1972">
        <v>2900</v>
      </c>
      <c r="H1972">
        <v>50.33</v>
      </c>
      <c r="I1972">
        <v>-145957</v>
      </c>
      <c r="K1972">
        <v>50.33</v>
      </c>
      <c r="L1972">
        <v>-145957</v>
      </c>
      <c r="M1972" t="s">
        <v>97</v>
      </c>
      <c r="N1972" t="s">
        <v>905</v>
      </c>
    </row>
    <row r="1973" spans="1:14" x14ac:dyDescent="0.25">
      <c r="A1973" s="18">
        <v>46184</v>
      </c>
      <c r="B1973" t="s">
        <v>319</v>
      </c>
      <c r="C1973" t="s">
        <v>323</v>
      </c>
      <c r="D1973" t="s">
        <v>39</v>
      </c>
      <c r="E1973" t="s">
        <v>40</v>
      </c>
      <c r="F1973" t="s">
        <v>36</v>
      </c>
      <c r="G1973">
        <v>-2300</v>
      </c>
      <c r="H1973">
        <v>28.442399999999999</v>
      </c>
      <c r="I1973">
        <v>65417.52</v>
      </c>
      <c r="K1973">
        <v>28.442399999999999</v>
      </c>
      <c r="L1973">
        <v>65417.52</v>
      </c>
      <c r="M1973" t="s">
        <v>39</v>
      </c>
      <c r="N1973" t="s">
        <v>323</v>
      </c>
    </row>
    <row r="1974" spans="1:14" x14ac:dyDescent="0.25">
      <c r="A1974" s="18">
        <v>46184</v>
      </c>
      <c r="B1974" t="s">
        <v>319</v>
      </c>
      <c r="C1974" t="s">
        <v>301</v>
      </c>
      <c r="D1974" t="s">
        <v>120</v>
      </c>
      <c r="E1974" t="s">
        <v>363</v>
      </c>
      <c r="F1974" t="s">
        <v>21</v>
      </c>
      <c r="G1974">
        <v>-655</v>
      </c>
      <c r="H1974">
        <v>323.1386</v>
      </c>
      <c r="I1974">
        <v>211655.783</v>
      </c>
      <c r="K1974">
        <v>323.1386</v>
      </c>
      <c r="L1974">
        <v>211655.783</v>
      </c>
      <c r="M1974" t="s">
        <v>120</v>
      </c>
      <c r="N1974" t="s">
        <v>301</v>
      </c>
    </row>
    <row r="1975" spans="1:14" x14ac:dyDescent="0.25">
      <c r="A1975" s="18">
        <v>46184</v>
      </c>
      <c r="B1975" t="s">
        <v>289</v>
      </c>
      <c r="C1975" t="s">
        <v>342</v>
      </c>
      <c r="D1975" t="s">
        <v>343</v>
      </c>
      <c r="E1975" t="s">
        <v>282</v>
      </c>
      <c r="F1975" t="s">
        <v>21</v>
      </c>
      <c r="G1975">
        <v>680</v>
      </c>
      <c r="H1975">
        <v>73.959999999999994</v>
      </c>
      <c r="I1975">
        <v>-50292.799999999996</v>
      </c>
      <c r="K1975">
        <v>73.959999999999994</v>
      </c>
      <c r="L1975">
        <v>-50292.799999999996</v>
      </c>
      <c r="M1975" t="s">
        <v>343</v>
      </c>
      <c r="N1975" t="s">
        <v>342</v>
      </c>
    </row>
    <row r="1976" spans="1:14" x14ac:dyDescent="0.25">
      <c r="A1976" s="18">
        <v>46184</v>
      </c>
      <c r="B1976" t="s">
        <v>289</v>
      </c>
      <c r="C1976" t="s">
        <v>771</v>
      </c>
      <c r="D1976" t="s">
        <v>89</v>
      </c>
      <c r="E1976" t="s">
        <v>90</v>
      </c>
      <c r="F1976" t="s">
        <v>21</v>
      </c>
      <c r="G1976">
        <v>630</v>
      </c>
      <c r="H1976">
        <v>78.05</v>
      </c>
      <c r="I1976">
        <v>-49171.5</v>
      </c>
      <c r="K1976">
        <v>78.05</v>
      </c>
      <c r="L1976">
        <v>-49171.5</v>
      </c>
      <c r="M1976" t="s">
        <v>89</v>
      </c>
      <c r="N1976" t="s">
        <v>771</v>
      </c>
    </row>
    <row r="1977" spans="1:14" x14ac:dyDescent="0.25">
      <c r="A1977" s="18">
        <v>46184</v>
      </c>
      <c r="B1977" t="s">
        <v>289</v>
      </c>
      <c r="C1977" t="s">
        <v>784</v>
      </c>
      <c r="D1977" t="s">
        <v>58</v>
      </c>
      <c r="E1977" t="s">
        <v>59</v>
      </c>
      <c r="F1977" t="s">
        <v>21</v>
      </c>
      <c r="G1977">
        <v>1500</v>
      </c>
      <c r="H1977">
        <v>34.26</v>
      </c>
      <c r="I1977">
        <v>-51390</v>
      </c>
      <c r="K1977">
        <v>34.26</v>
      </c>
      <c r="L1977">
        <v>-51390</v>
      </c>
      <c r="M1977" t="s">
        <v>58</v>
      </c>
      <c r="N1977" t="s">
        <v>784</v>
      </c>
    </row>
    <row r="1978" spans="1:14" x14ac:dyDescent="0.25">
      <c r="A1978" s="18">
        <v>46184</v>
      </c>
      <c r="B1978" t="s">
        <v>289</v>
      </c>
      <c r="C1978" t="s">
        <v>316</v>
      </c>
      <c r="D1978" t="s">
        <v>317</v>
      </c>
      <c r="E1978" t="s">
        <v>274</v>
      </c>
      <c r="F1978" t="s">
        <v>21</v>
      </c>
      <c r="G1978">
        <v>1020</v>
      </c>
      <c r="H1978">
        <v>48.2</v>
      </c>
      <c r="I1978">
        <v>-49164</v>
      </c>
      <c r="K1978">
        <v>48.2</v>
      </c>
      <c r="L1978">
        <v>-49164</v>
      </c>
      <c r="M1978" t="s">
        <v>317</v>
      </c>
      <c r="N1978" t="s">
        <v>316</v>
      </c>
    </row>
    <row r="1979" spans="1:14" x14ac:dyDescent="0.25">
      <c r="A1979" s="18">
        <v>46185</v>
      </c>
      <c r="B1979" t="s">
        <v>319</v>
      </c>
      <c r="C1979" t="s">
        <v>342</v>
      </c>
      <c r="D1979" t="s">
        <v>343</v>
      </c>
      <c r="E1979" t="s">
        <v>282</v>
      </c>
      <c r="F1979" t="s">
        <v>21</v>
      </c>
      <c r="G1979">
        <v>-1900</v>
      </c>
      <c r="H1979">
        <v>75.599999999999994</v>
      </c>
      <c r="I1979">
        <v>143640</v>
      </c>
      <c r="K1979">
        <v>75.599999999999994</v>
      </c>
      <c r="L1979">
        <v>143640</v>
      </c>
      <c r="M1979" t="s">
        <v>343</v>
      </c>
      <c r="N1979" t="s">
        <v>342</v>
      </c>
    </row>
    <row r="1980" spans="1:14" x14ac:dyDescent="0.25">
      <c r="A1980" s="18">
        <v>46185</v>
      </c>
      <c r="B1980" t="s">
        <v>289</v>
      </c>
      <c r="C1980" t="s">
        <v>843</v>
      </c>
      <c r="D1980" t="s">
        <v>844</v>
      </c>
      <c r="E1980" t="s">
        <v>845</v>
      </c>
      <c r="F1980" t="s">
        <v>21</v>
      </c>
      <c r="G1980">
        <v>5</v>
      </c>
      <c r="H1980">
        <v>6141</v>
      </c>
      <c r="I1980">
        <v>-307050</v>
      </c>
      <c r="K1980">
        <v>6141</v>
      </c>
      <c r="L1980">
        <v>-307050</v>
      </c>
      <c r="M1980" t="s">
        <v>844</v>
      </c>
      <c r="N1980" t="s">
        <v>843</v>
      </c>
    </row>
    <row r="1981" spans="1:14" x14ac:dyDescent="0.25">
      <c r="A1981" s="18">
        <v>46185</v>
      </c>
      <c r="B1981" t="s">
        <v>319</v>
      </c>
      <c r="C1981" t="s">
        <v>326</v>
      </c>
      <c r="D1981" t="s">
        <v>327</v>
      </c>
      <c r="E1981" t="s">
        <v>251</v>
      </c>
      <c r="F1981" t="s">
        <v>21</v>
      </c>
      <c r="G1981">
        <v>-5130</v>
      </c>
      <c r="H1981">
        <v>125.8557</v>
      </c>
      <c r="I1981">
        <v>645639.74100000004</v>
      </c>
      <c r="K1981">
        <v>125.85570000000001</v>
      </c>
      <c r="L1981">
        <v>645639.74100000004</v>
      </c>
      <c r="M1981" t="s">
        <v>327</v>
      </c>
      <c r="N1981" t="s">
        <v>326</v>
      </c>
    </row>
    <row r="1982" spans="1:14" x14ac:dyDescent="0.25">
      <c r="A1982" s="18">
        <v>46185</v>
      </c>
      <c r="B1982" t="s">
        <v>289</v>
      </c>
      <c r="C1982" t="s">
        <v>608</v>
      </c>
      <c r="D1982" t="s">
        <v>26</v>
      </c>
      <c r="E1982" t="s">
        <v>27</v>
      </c>
      <c r="F1982" t="s">
        <v>21</v>
      </c>
      <c r="G1982">
        <v>550</v>
      </c>
      <c r="H1982">
        <v>269.7355</v>
      </c>
      <c r="I1982">
        <v>-148354.52499999999</v>
      </c>
      <c r="K1982">
        <v>269.7355</v>
      </c>
      <c r="L1982">
        <v>-148354.52499999999</v>
      </c>
      <c r="M1982" t="s">
        <v>26</v>
      </c>
      <c r="N1982" t="s">
        <v>608</v>
      </c>
    </row>
    <row r="1983" spans="1:14" x14ac:dyDescent="0.25">
      <c r="A1983" s="18">
        <v>46185</v>
      </c>
      <c r="B1983" t="s">
        <v>319</v>
      </c>
      <c r="C1983" t="s">
        <v>316</v>
      </c>
      <c r="D1983" t="s">
        <v>317</v>
      </c>
      <c r="E1983" t="s">
        <v>274</v>
      </c>
      <c r="F1983" t="s">
        <v>21</v>
      </c>
      <c r="G1983">
        <v>-6111</v>
      </c>
      <c r="H1983">
        <v>48.980899999999998</v>
      </c>
      <c r="I1983">
        <v>299322.27989999996</v>
      </c>
      <c r="K1983">
        <v>48.980899999999991</v>
      </c>
      <c r="L1983">
        <v>299322.27989999996</v>
      </c>
      <c r="M1983" t="s">
        <v>317</v>
      </c>
      <c r="N1983" t="s">
        <v>316</v>
      </c>
    </row>
    <row r="1984" spans="1:14" x14ac:dyDescent="0.25">
      <c r="A1984" s="18">
        <v>46185</v>
      </c>
      <c r="B1984" t="s">
        <v>289</v>
      </c>
      <c r="C1984" t="s">
        <v>386</v>
      </c>
      <c r="D1984" t="s">
        <v>60</v>
      </c>
      <c r="E1984" t="s">
        <v>387</v>
      </c>
      <c r="F1984" t="s">
        <v>21</v>
      </c>
      <c r="G1984">
        <v>5500</v>
      </c>
      <c r="H1984">
        <v>58.113399999999999</v>
      </c>
      <c r="I1984">
        <v>-319623.7</v>
      </c>
      <c r="K1984">
        <v>58.113399999999999</v>
      </c>
      <c r="L1984">
        <v>-319623.7</v>
      </c>
      <c r="M1984" t="s">
        <v>60</v>
      </c>
      <c r="N1984" t="s">
        <v>386</v>
      </c>
    </row>
    <row r="1985" spans="1:14" x14ac:dyDescent="0.25">
      <c r="A1985" s="18">
        <v>46185</v>
      </c>
      <c r="B1985" t="s">
        <v>289</v>
      </c>
      <c r="C1985" t="s">
        <v>485</v>
      </c>
      <c r="D1985" t="s">
        <v>95</v>
      </c>
      <c r="E1985" t="s">
        <v>96</v>
      </c>
      <c r="F1985" t="s">
        <v>21</v>
      </c>
      <c r="G1985">
        <v>12390</v>
      </c>
      <c r="H1985">
        <v>25.728200000000001</v>
      </c>
      <c r="I1985">
        <v>-318772.39799999999</v>
      </c>
      <c r="K1985">
        <v>25.728199999999998</v>
      </c>
      <c r="L1985">
        <v>-318772.39799999999</v>
      </c>
      <c r="M1985" t="s">
        <v>95</v>
      </c>
      <c r="N1985" t="s">
        <v>485</v>
      </c>
    </row>
    <row r="1986" spans="1:14" x14ac:dyDescent="0.25">
      <c r="A1986" s="18">
        <v>46188</v>
      </c>
      <c r="B1986" t="s">
        <v>289</v>
      </c>
      <c r="C1986" t="s">
        <v>339</v>
      </c>
      <c r="D1986" t="s">
        <v>340</v>
      </c>
      <c r="E1986" t="s">
        <v>341</v>
      </c>
      <c r="F1986" t="s">
        <v>21</v>
      </c>
      <c r="G1986">
        <v>1100</v>
      </c>
      <c r="H1986">
        <v>191.0968</v>
      </c>
      <c r="I1986">
        <v>-210206.48</v>
      </c>
      <c r="K1986">
        <v>191.0968</v>
      </c>
      <c r="L1986">
        <v>-210206.48</v>
      </c>
      <c r="M1986" t="s">
        <v>340</v>
      </c>
      <c r="N1986" t="s">
        <v>339</v>
      </c>
    </row>
    <row r="1987" spans="1:14" x14ac:dyDescent="0.25">
      <c r="A1987" s="18">
        <v>46188</v>
      </c>
      <c r="B1987" t="s">
        <v>289</v>
      </c>
      <c r="C1987" t="s">
        <v>852</v>
      </c>
      <c r="D1987" t="s">
        <v>54</v>
      </c>
      <c r="E1987" t="s">
        <v>55</v>
      </c>
      <c r="F1987" t="s">
        <v>21</v>
      </c>
      <c r="G1987">
        <v>10599</v>
      </c>
      <c r="H1987">
        <v>4.6680000000000001</v>
      </c>
      <c r="I1987">
        <v>-49476.132000000005</v>
      </c>
      <c r="K1987">
        <v>4.6680000000000001</v>
      </c>
      <c r="L1987">
        <v>-49476.132000000005</v>
      </c>
      <c r="M1987" t="s">
        <v>54</v>
      </c>
      <c r="N1987" t="s">
        <v>852</v>
      </c>
    </row>
    <row r="1988" spans="1:14" x14ac:dyDescent="0.25">
      <c r="A1988" s="18">
        <v>46188</v>
      </c>
      <c r="B1988" t="s">
        <v>289</v>
      </c>
      <c r="C1988" t="s">
        <v>783</v>
      </c>
      <c r="D1988" t="s">
        <v>78</v>
      </c>
      <c r="E1988" t="s">
        <v>79</v>
      </c>
      <c r="F1988" t="s">
        <v>21</v>
      </c>
      <c r="G1988">
        <v>1580</v>
      </c>
      <c r="H1988">
        <v>34.659999999999997</v>
      </c>
      <c r="I1988">
        <v>-54762.799999999996</v>
      </c>
      <c r="K1988">
        <v>34.659999999999997</v>
      </c>
      <c r="L1988">
        <v>-54762.799999999996</v>
      </c>
      <c r="M1988" t="s">
        <v>78</v>
      </c>
      <c r="N1988" t="s">
        <v>783</v>
      </c>
    </row>
    <row r="1989" spans="1:14" x14ac:dyDescent="0.25">
      <c r="A1989" s="18">
        <v>46188</v>
      </c>
      <c r="B1989" t="s">
        <v>289</v>
      </c>
      <c r="C1989" t="s">
        <v>294</v>
      </c>
      <c r="D1989" t="s">
        <v>80</v>
      </c>
      <c r="E1989" t="s">
        <v>505</v>
      </c>
      <c r="F1989" t="s">
        <v>82</v>
      </c>
      <c r="G1989">
        <v>620</v>
      </c>
      <c r="H1989">
        <v>77.599999999999994</v>
      </c>
      <c r="I1989">
        <v>-48112</v>
      </c>
      <c r="K1989">
        <v>77.599999999999994</v>
      </c>
      <c r="L1989">
        <v>-48112</v>
      </c>
      <c r="M1989" t="s">
        <v>80</v>
      </c>
      <c r="N1989" t="s">
        <v>294</v>
      </c>
    </row>
    <row r="1990" spans="1:14" x14ac:dyDescent="0.25">
      <c r="A1990" s="18">
        <v>46188</v>
      </c>
      <c r="B1990" t="s">
        <v>319</v>
      </c>
      <c r="C1990" t="s">
        <v>342</v>
      </c>
      <c r="D1990" t="s">
        <v>343</v>
      </c>
      <c r="E1990" t="s">
        <v>282</v>
      </c>
      <c r="F1990" t="s">
        <v>21</v>
      </c>
      <c r="G1990">
        <v>-2020</v>
      </c>
      <c r="H1990">
        <v>80.312299999999993</v>
      </c>
      <c r="I1990">
        <v>162230.84599999999</v>
      </c>
      <c r="K1990">
        <v>80.312299999999993</v>
      </c>
      <c r="L1990">
        <v>162230.84599999999</v>
      </c>
      <c r="M1990" t="s">
        <v>343</v>
      </c>
      <c r="N1990" t="s">
        <v>342</v>
      </c>
    </row>
    <row r="1991" spans="1:14" x14ac:dyDescent="0.25">
      <c r="A1991" s="18">
        <v>46188</v>
      </c>
      <c r="B1991" t="s">
        <v>319</v>
      </c>
      <c r="C1991" t="s">
        <v>906</v>
      </c>
      <c r="D1991" t="s">
        <v>907</v>
      </c>
      <c r="E1991" t="s">
        <v>908</v>
      </c>
      <c r="F1991" t="s">
        <v>21</v>
      </c>
      <c r="G1991">
        <v>-12</v>
      </c>
      <c r="H1991">
        <v>8454.2000000000007</v>
      </c>
      <c r="I1991">
        <v>1014504.0000000001</v>
      </c>
      <c r="K1991">
        <v>8454.2000000000007</v>
      </c>
      <c r="L1991">
        <v>1014504.0000000001</v>
      </c>
      <c r="M1991" t="s">
        <v>907</v>
      </c>
      <c r="N1991" t="s">
        <v>906</v>
      </c>
    </row>
    <row r="1992" spans="1:14" x14ac:dyDescent="0.25">
      <c r="A1992" s="18">
        <v>46188</v>
      </c>
      <c r="B1992" t="s">
        <v>289</v>
      </c>
      <c r="C1992" t="s">
        <v>880</v>
      </c>
      <c r="D1992" t="s">
        <v>881</v>
      </c>
      <c r="E1992" t="s">
        <v>882</v>
      </c>
      <c r="F1992" t="s">
        <v>21</v>
      </c>
      <c r="G1992">
        <v>12</v>
      </c>
      <c r="H1992">
        <v>8448.2000000000007</v>
      </c>
      <c r="I1992">
        <v>-1013784.0000000001</v>
      </c>
      <c r="K1992">
        <v>8448.2000000000007</v>
      </c>
      <c r="L1992">
        <v>-1013784.0000000001</v>
      </c>
      <c r="M1992" t="s">
        <v>881</v>
      </c>
      <c r="N1992" t="s">
        <v>880</v>
      </c>
    </row>
    <row r="1993" spans="1:14" x14ac:dyDescent="0.25">
      <c r="A1993" s="18">
        <v>46188</v>
      </c>
      <c r="B1993" t="s">
        <v>289</v>
      </c>
      <c r="C1993" t="s">
        <v>843</v>
      </c>
      <c r="D1993" t="s">
        <v>844</v>
      </c>
      <c r="E1993" t="s">
        <v>845</v>
      </c>
      <c r="F1993" t="s">
        <v>21</v>
      </c>
      <c r="G1993">
        <v>11</v>
      </c>
      <c r="H1993">
        <v>6260</v>
      </c>
      <c r="I1993">
        <v>-688600</v>
      </c>
      <c r="K1993">
        <v>6260</v>
      </c>
      <c r="L1993">
        <v>-688600</v>
      </c>
      <c r="M1993" t="s">
        <v>844</v>
      </c>
      <c r="N1993" t="s">
        <v>843</v>
      </c>
    </row>
    <row r="1994" spans="1:14" x14ac:dyDescent="0.25">
      <c r="A1994" s="18">
        <v>46188</v>
      </c>
      <c r="B1994" t="s">
        <v>319</v>
      </c>
      <c r="C1994" t="s">
        <v>909</v>
      </c>
      <c r="D1994" t="s">
        <v>910</v>
      </c>
      <c r="E1994" t="s">
        <v>911</v>
      </c>
      <c r="F1994" t="s">
        <v>21</v>
      </c>
      <c r="G1994">
        <v>-11</v>
      </c>
      <c r="H1994">
        <v>6287</v>
      </c>
      <c r="I1994">
        <v>691570</v>
      </c>
      <c r="K1994">
        <v>6287</v>
      </c>
      <c r="L1994">
        <v>691570</v>
      </c>
      <c r="M1994" t="s">
        <v>910</v>
      </c>
      <c r="N1994" t="s">
        <v>909</v>
      </c>
    </row>
    <row r="1995" spans="1:14" x14ac:dyDescent="0.25">
      <c r="A1995" s="18">
        <v>46189</v>
      </c>
      <c r="B1995" t="s">
        <v>289</v>
      </c>
      <c r="C1995" t="s">
        <v>318</v>
      </c>
      <c r="D1995" t="s">
        <v>22</v>
      </c>
      <c r="E1995" t="s">
        <v>23</v>
      </c>
      <c r="F1995" t="s">
        <v>21</v>
      </c>
      <c r="G1995">
        <v>3370</v>
      </c>
      <c r="H1995">
        <v>22.9</v>
      </c>
      <c r="I1995">
        <v>-77173</v>
      </c>
      <c r="K1995">
        <v>22.9</v>
      </c>
      <c r="L1995">
        <v>-77173</v>
      </c>
      <c r="M1995" t="s">
        <v>22</v>
      </c>
      <c r="N1995" t="s">
        <v>318</v>
      </c>
    </row>
    <row r="1996" spans="1:14" x14ac:dyDescent="0.25">
      <c r="A1996" s="18">
        <v>46190</v>
      </c>
      <c r="B1996" t="s">
        <v>289</v>
      </c>
      <c r="C1996" t="s">
        <v>573</v>
      </c>
      <c r="D1996" t="s">
        <v>124</v>
      </c>
      <c r="E1996" t="s">
        <v>574</v>
      </c>
      <c r="F1996" t="s">
        <v>21</v>
      </c>
      <c r="G1996">
        <v>4500</v>
      </c>
      <c r="H1996">
        <v>111.73</v>
      </c>
      <c r="I1996">
        <v>-502785</v>
      </c>
      <c r="K1996">
        <v>111.73</v>
      </c>
      <c r="L1996">
        <v>-502785</v>
      </c>
      <c r="M1996" t="s">
        <v>124</v>
      </c>
      <c r="N1996" t="s">
        <v>573</v>
      </c>
    </row>
    <row r="1997" spans="1:14" x14ac:dyDescent="0.25">
      <c r="A1997" s="18">
        <v>46191</v>
      </c>
      <c r="B1997" t="s">
        <v>319</v>
      </c>
      <c r="C1997" t="s">
        <v>619</v>
      </c>
      <c r="D1997" t="s">
        <v>620</v>
      </c>
      <c r="E1997" t="s">
        <v>621</v>
      </c>
      <c r="F1997" t="s">
        <v>21</v>
      </c>
      <c r="G1997">
        <v>-183</v>
      </c>
      <c r="H1997">
        <v>175.51689999999999</v>
      </c>
      <c r="I1997">
        <v>32119.592699999997</v>
      </c>
      <c r="K1997">
        <v>175.51689999999999</v>
      </c>
      <c r="L1997">
        <v>32119.592699999997</v>
      </c>
      <c r="M1997" t="s">
        <v>620</v>
      </c>
      <c r="N1997" t="s">
        <v>619</v>
      </c>
    </row>
    <row r="1998" spans="1:14" x14ac:dyDescent="0.25">
      <c r="A1998" s="18">
        <v>46191</v>
      </c>
      <c r="B1998" t="s">
        <v>289</v>
      </c>
      <c r="C1998" t="s">
        <v>301</v>
      </c>
      <c r="D1998" t="s">
        <v>120</v>
      </c>
      <c r="E1998" t="s">
        <v>363</v>
      </c>
      <c r="F1998" t="s">
        <v>21</v>
      </c>
      <c r="G1998">
        <v>292</v>
      </c>
      <c r="H1998">
        <v>340.62189999999998</v>
      </c>
      <c r="I1998">
        <v>-99461.594799999992</v>
      </c>
      <c r="K1998">
        <v>340.62189999999998</v>
      </c>
      <c r="L1998">
        <v>-99461.594799999992</v>
      </c>
      <c r="M1998" t="s">
        <v>120</v>
      </c>
      <c r="N1998" t="s">
        <v>301</v>
      </c>
    </row>
    <row r="1999" spans="1:14" x14ac:dyDescent="0.25">
      <c r="A1999" s="18">
        <v>46191</v>
      </c>
      <c r="B1999" t="s">
        <v>289</v>
      </c>
      <c r="C1999" t="s">
        <v>424</v>
      </c>
      <c r="D1999" t="s">
        <v>41</v>
      </c>
      <c r="E1999" t="s">
        <v>42</v>
      </c>
      <c r="F1999" t="s">
        <v>36</v>
      </c>
      <c r="G1999">
        <v>6225</v>
      </c>
      <c r="H1999">
        <v>14.103</v>
      </c>
      <c r="I1999">
        <v>-87791.175000000003</v>
      </c>
      <c r="K1999">
        <v>14.103</v>
      </c>
      <c r="L1999">
        <v>-87791.175000000003</v>
      </c>
      <c r="M1999" t="s">
        <v>41</v>
      </c>
      <c r="N1999" t="s">
        <v>424</v>
      </c>
    </row>
    <row r="2000" spans="1:14" x14ac:dyDescent="0.25">
      <c r="A2000" s="18">
        <v>46191</v>
      </c>
      <c r="B2000" t="s">
        <v>289</v>
      </c>
      <c r="C2000" t="s">
        <v>852</v>
      </c>
      <c r="D2000" t="s">
        <v>54</v>
      </c>
      <c r="E2000" t="s">
        <v>55</v>
      </c>
      <c r="F2000" t="s">
        <v>21</v>
      </c>
      <c r="G2000">
        <v>10780</v>
      </c>
      <c r="H2000">
        <v>4.5937999999999999</v>
      </c>
      <c r="I2000">
        <v>-49521.163999999997</v>
      </c>
      <c r="K2000">
        <v>4.5937999999999999</v>
      </c>
      <c r="L2000">
        <v>-49521.163999999997</v>
      </c>
      <c r="M2000" t="s">
        <v>54</v>
      </c>
      <c r="N2000" t="s">
        <v>852</v>
      </c>
    </row>
    <row r="2001" spans="1:14" x14ac:dyDescent="0.25">
      <c r="A2001" s="18">
        <v>46191</v>
      </c>
      <c r="B2001" t="s">
        <v>289</v>
      </c>
      <c r="C2001" t="s">
        <v>868</v>
      </c>
      <c r="D2001" t="s">
        <v>24</v>
      </c>
      <c r="E2001" t="s">
        <v>25</v>
      </c>
      <c r="F2001" t="s">
        <v>21</v>
      </c>
      <c r="G2001">
        <v>610</v>
      </c>
      <c r="H2001">
        <v>511.78800000000001</v>
      </c>
      <c r="I2001">
        <v>-312190.68</v>
      </c>
      <c r="K2001">
        <v>511.78800000000001</v>
      </c>
      <c r="L2001">
        <v>-312190.68</v>
      </c>
      <c r="M2001" t="s">
        <v>24</v>
      </c>
      <c r="N2001" t="s">
        <v>868</v>
      </c>
    </row>
    <row r="2002" spans="1:14" x14ac:dyDescent="0.25">
      <c r="A2002" s="18">
        <v>46191</v>
      </c>
      <c r="B2002" t="s">
        <v>319</v>
      </c>
      <c r="C2002" t="s">
        <v>339</v>
      </c>
      <c r="D2002" t="s">
        <v>340</v>
      </c>
      <c r="E2002" t="s">
        <v>341</v>
      </c>
      <c r="F2002" t="s">
        <v>21</v>
      </c>
      <c r="G2002">
        <v>-3085</v>
      </c>
      <c r="H2002">
        <v>185.37739999999999</v>
      </c>
      <c r="I2002">
        <v>571889.27899999998</v>
      </c>
      <c r="K2002">
        <v>185.37739999999999</v>
      </c>
      <c r="L2002">
        <v>571889.27899999998</v>
      </c>
      <c r="M2002" t="s">
        <v>340</v>
      </c>
      <c r="N2002" t="s">
        <v>339</v>
      </c>
    </row>
    <row r="2003" spans="1:14" x14ac:dyDescent="0.25">
      <c r="A2003" s="18">
        <v>46191</v>
      </c>
      <c r="B2003" t="s">
        <v>289</v>
      </c>
      <c r="C2003" t="s">
        <v>318</v>
      </c>
      <c r="D2003" t="s">
        <v>22</v>
      </c>
      <c r="E2003" t="s">
        <v>23</v>
      </c>
      <c r="F2003" t="s">
        <v>21</v>
      </c>
      <c r="G2003">
        <v>2219</v>
      </c>
      <c r="H2003">
        <v>22.290099999999999</v>
      </c>
      <c r="I2003">
        <v>-49461.731899999999</v>
      </c>
      <c r="K2003">
        <v>22.290099999999999</v>
      </c>
      <c r="L2003">
        <v>-49461.731899999999</v>
      </c>
      <c r="M2003" t="s">
        <v>22</v>
      </c>
      <c r="N2003" t="s">
        <v>318</v>
      </c>
    </row>
    <row r="2004" spans="1:14" x14ac:dyDescent="0.25">
      <c r="A2004" s="18">
        <v>46191</v>
      </c>
      <c r="B2004" t="s">
        <v>289</v>
      </c>
      <c r="C2004" t="s">
        <v>771</v>
      </c>
      <c r="D2004" t="s">
        <v>89</v>
      </c>
      <c r="E2004" t="s">
        <v>90</v>
      </c>
      <c r="F2004" t="s">
        <v>21</v>
      </c>
      <c r="G2004">
        <v>1140</v>
      </c>
      <c r="H2004">
        <v>86.45</v>
      </c>
      <c r="I2004">
        <v>-98553</v>
      </c>
      <c r="K2004">
        <v>86.45</v>
      </c>
      <c r="L2004">
        <v>-98553</v>
      </c>
      <c r="M2004" t="s">
        <v>89</v>
      </c>
      <c r="N2004" t="s">
        <v>771</v>
      </c>
    </row>
    <row r="2005" spans="1:14" x14ac:dyDescent="0.25">
      <c r="A2005" s="18">
        <v>46196</v>
      </c>
      <c r="B2005" t="s">
        <v>319</v>
      </c>
      <c r="C2005" t="s">
        <v>912</v>
      </c>
      <c r="D2005" t="s">
        <v>133</v>
      </c>
      <c r="E2005" t="s">
        <v>913</v>
      </c>
      <c r="F2005" t="s">
        <v>49</v>
      </c>
      <c r="G2005">
        <v>-6</v>
      </c>
      <c r="H2005">
        <v>109.453125</v>
      </c>
      <c r="I2005">
        <v>656718.75</v>
      </c>
      <c r="K2005">
        <v>109.453125</v>
      </c>
      <c r="L2005">
        <v>656718.75</v>
      </c>
      <c r="M2005" t="s">
        <v>133</v>
      </c>
      <c r="N2005" t="s">
        <v>912</v>
      </c>
    </row>
    <row r="2006" spans="1:14" x14ac:dyDescent="0.25">
      <c r="A2006" s="18">
        <v>46196</v>
      </c>
      <c r="B2006" t="s">
        <v>319</v>
      </c>
      <c r="C2006" t="s">
        <v>814</v>
      </c>
      <c r="D2006" t="s">
        <v>815</v>
      </c>
      <c r="E2006" t="s">
        <v>816</v>
      </c>
      <c r="F2006" t="s">
        <v>21</v>
      </c>
      <c r="G2006">
        <v>-340</v>
      </c>
      <c r="H2006">
        <v>470.90679999999998</v>
      </c>
      <c r="I2006">
        <v>160108.31200000001</v>
      </c>
      <c r="K2006">
        <v>470.90680000000003</v>
      </c>
      <c r="L2006">
        <v>160108.31200000001</v>
      </c>
      <c r="M2006" t="s">
        <v>815</v>
      </c>
      <c r="N2006" t="s">
        <v>814</v>
      </c>
    </row>
    <row r="2007" spans="1:14" x14ac:dyDescent="0.25">
      <c r="A2007" s="18">
        <v>46196</v>
      </c>
      <c r="B2007" t="s">
        <v>319</v>
      </c>
      <c r="C2007" t="s">
        <v>660</v>
      </c>
      <c r="D2007" t="s">
        <v>62</v>
      </c>
      <c r="E2007" t="s">
        <v>63</v>
      </c>
      <c r="F2007" t="s">
        <v>49</v>
      </c>
      <c r="G2007">
        <v>-500</v>
      </c>
      <c r="H2007">
        <v>344.73950000000002</v>
      </c>
      <c r="I2007">
        <v>172369.75</v>
      </c>
      <c r="K2007">
        <v>344.73950000000002</v>
      </c>
      <c r="L2007">
        <v>172369.75</v>
      </c>
      <c r="M2007" t="s">
        <v>62</v>
      </c>
      <c r="N2007" t="s">
        <v>660</v>
      </c>
    </row>
    <row r="2008" spans="1:14" x14ac:dyDescent="0.25">
      <c r="A2008" s="18">
        <v>46196</v>
      </c>
      <c r="B2008" t="s">
        <v>289</v>
      </c>
      <c r="C2008" t="s">
        <v>342</v>
      </c>
      <c r="D2008" t="s">
        <v>343</v>
      </c>
      <c r="E2008" t="s">
        <v>282</v>
      </c>
      <c r="F2008" t="s">
        <v>21</v>
      </c>
      <c r="G2008">
        <v>2300</v>
      </c>
      <c r="H2008">
        <v>77.4148</v>
      </c>
      <c r="I2008">
        <v>-178054.04</v>
      </c>
      <c r="K2008">
        <v>77.4148</v>
      </c>
      <c r="L2008">
        <v>-178054.04</v>
      </c>
      <c r="M2008" t="s">
        <v>343</v>
      </c>
      <c r="N2008" t="s">
        <v>342</v>
      </c>
    </row>
    <row r="2009" spans="1:14" x14ac:dyDescent="0.25">
      <c r="A2009" s="18">
        <v>46196</v>
      </c>
      <c r="B2009" t="s">
        <v>289</v>
      </c>
      <c r="C2009" t="s">
        <v>914</v>
      </c>
      <c r="D2009" t="s">
        <v>76</v>
      </c>
      <c r="E2009" t="s">
        <v>77</v>
      </c>
      <c r="F2009" t="s">
        <v>21</v>
      </c>
      <c r="G2009">
        <v>3400</v>
      </c>
      <c r="H2009">
        <v>91</v>
      </c>
      <c r="I2009">
        <v>-309400</v>
      </c>
      <c r="K2009">
        <v>91</v>
      </c>
      <c r="L2009">
        <v>-309400</v>
      </c>
      <c r="M2009" t="s">
        <v>76</v>
      </c>
      <c r="N2009" t="s">
        <v>914</v>
      </c>
    </row>
    <row r="2010" spans="1:14" x14ac:dyDescent="0.25">
      <c r="A2010" s="18">
        <v>46202</v>
      </c>
      <c r="B2010" t="s">
        <v>289</v>
      </c>
      <c r="C2010" t="s">
        <v>915</v>
      </c>
      <c r="D2010" t="s">
        <v>70</v>
      </c>
      <c r="E2010" t="s">
        <v>71</v>
      </c>
      <c r="F2010" t="s">
        <v>21</v>
      </c>
      <c r="G2010">
        <v>9555</v>
      </c>
      <c r="H2010">
        <v>15.484999999999999</v>
      </c>
      <c r="I2010">
        <v>-147959.17499999999</v>
      </c>
      <c r="K2010">
        <v>15.484999999999999</v>
      </c>
      <c r="L2010">
        <v>-147959.17499999999</v>
      </c>
      <c r="M2010" t="s">
        <v>70</v>
      </c>
      <c r="N2010" t="s">
        <v>915</v>
      </c>
    </row>
    <row r="2011" spans="1:14" x14ac:dyDescent="0.25">
      <c r="A2011" s="18">
        <v>46203</v>
      </c>
      <c r="B2011" t="s">
        <v>289</v>
      </c>
      <c r="C2011" t="s">
        <v>853</v>
      </c>
      <c r="D2011" t="s">
        <v>47</v>
      </c>
      <c r="E2011" t="s">
        <v>48</v>
      </c>
      <c r="F2011" t="s">
        <v>49</v>
      </c>
      <c r="G2011">
        <v>430</v>
      </c>
      <c r="H2011">
        <v>107.87</v>
      </c>
      <c r="I2011">
        <v>-46384.1</v>
      </c>
      <c r="K2011">
        <v>107.86999999999999</v>
      </c>
      <c r="L2011">
        <v>-46384.1</v>
      </c>
      <c r="M2011" t="s">
        <v>47</v>
      </c>
      <c r="N2011" t="s">
        <v>853</v>
      </c>
    </row>
    <row r="2012" spans="1:14" x14ac:dyDescent="0.25">
      <c r="A2012" s="18">
        <v>46203</v>
      </c>
      <c r="B2012" t="s">
        <v>289</v>
      </c>
      <c r="C2012" t="s">
        <v>294</v>
      </c>
      <c r="D2012" t="s">
        <v>80</v>
      </c>
      <c r="E2012" t="s">
        <v>505</v>
      </c>
      <c r="F2012" t="s">
        <v>82</v>
      </c>
      <c r="G2012">
        <v>520</v>
      </c>
      <c r="H2012">
        <v>72.599999999999994</v>
      </c>
      <c r="I2012">
        <v>-37752</v>
      </c>
      <c r="K2012">
        <v>72.599999999999994</v>
      </c>
      <c r="L2012">
        <v>-37752</v>
      </c>
      <c r="M2012" t="s">
        <v>80</v>
      </c>
      <c r="N2012" t="s">
        <v>294</v>
      </c>
    </row>
    <row r="2013" spans="1:14" x14ac:dyDescent="0.25">
      <c r="A2013" s="18">
        <v>46203</v>
      </c>
      <c r="B2013" t="s">
        <v>319</v>
      </c>
      <c r="C2013" t="s">
        <v>708</v>
      </c>
      <c r="D2013" t="s">
        <v>709</v>
      </c>
      <c r="E2013" t="s">
        <v>710</v>
      </c>
      <c r="F2013" t="s">
        <v>21</v>
      </c>
      <c r="G2013">
        <v>-4319</v>
      </c>
      <c r="H2013">
        <v>18.690000000000001</v>
      </c>
      <c r="I2013">
        <v>80722.11</v>
      </c>
      <c r="K2013">
        <v>18.690000000000001</v>
      </c>
      <c r="L2013">
        <v>80722.11</v>
      </c>
      <c r="M2013" t="s">
        <v>709</v>
      </c>
      <c r="N2013" t="s">
        <v>708</v>
      </c>
    </row>
    <row r="2014" spans="1:14" x14ac:dyDescent="0.25">
      <c r="A2014" s="18">
        <v>46204</v>
      </c>
      <c r="B2014" t="s">
        <v>289</v>
      </c>
      <c r="C2014" t="s">
        <v>294</v>
      </c>
      <c r="D2014" t="s">
        <v>80</v>
      </c>
      <c r="E2014" t="s">
        <v>505</v>
      </c>
      <c r="F2014" t="s">
        <v>82</v>
      </c>
      <c r="G2014">
        <v>2350</v>
      </c>
      <c r="H2014">
        <v>73.069999999999993</v>
      </c>
      <c r="I2014">
        <v>-171714.49999999997</v>
      </c>
      <c r="K2014">
        <v>73.069999999999993</v>
      </c>
      <c r="L2014">
        <v>-171714.49999999997</v>
      </c>
      <c r="M2014" t="s">
        <v>80</v>
      </c>
      <c r="N2014" t="s">
        <v>294</v>
      </c>
    </row>
    <row r="2015" spans="1:14" x14ac:dyDescent="0.25">
      <c r="A2015" s="18">
        <v>46204</v>
      </c>
      <c r="B2015" t="s">
        <v>319</v>
      </c>
      <c r="C2015" t="s">
        <v>764</v>
      </c>
      <c r="D2015" t="s">
        <v>765</v>
      </c>
      <c r="E2015" t="s">
        <v>766</v>
      </c>
      <c r="F2015" t="s">
        <v>36</v>
      </c>
      <c r="G2015">
        <v>-4224</v>
      </c>
      <c r="H2015">
        <v>37.9758</v>
      </c>
      <c r="I2015">
        <v>160409.77919999999</v>
      </c>
      <c r="K2015">
        <v>37.9758</v>
      </c>
      <c r="L2015">
        <v>160409.77919999999</v>
      </c>
      <c r="M2015" t="s">
        <v>765</v>
      </c>
      <c r="N2015" t="s">
        <v>764</v>
      </c>
    </row>
    <row r="2016" spans="1:14" x14ac:dyDescent="0.25">
      <c r="A2016" s="18">
        <v>46204</v>
      </c>
      <c r="B2016" t="s">
        <v>319</v>
      </c>
      <c r="C2016" t="s">
        <v>770</v>
      </c>
      <c r="D2016" t="s">
        <v>34</v>
      </c>
      <c r="E2016" t="s">
        <v>35</v>
      </c>
      <c r="F2016" t="s">
        <v>36</v>
      </c>
      <c r="G2016">
        <v>-900</v>
      </c>
      <c r="H2016">
        <v>70.500100000000003</v>
      </c>
      <c r="I2016">
        <v>63450.090000000004</v>
      </c>
      <c r="K2016">
        <v>70.500100000000003</v>
      </c>
      <c r="L2016">
        <v>63450.090000000004</v>
      </c>
      <c r="M2016" t="s">
        <v>34</v>
      </c>
      <c r="N2016" t="s">
        <v>770</v>
      </c>
    </row>
    <row r="2017" spans="1:14" x14ac:dyDescent="0.25">
      <c r="A2017" s="18">
        <v>46204</v>
      </c>
      <c r="B2017" t="s">
        <v>289</v>
      </c>
      <c r="C2017" t="s">
        <v>572</v>
      </c>
      <c r="D2017" t="s">
        <v>87</v>
      </c>
      <c r="E2017" t="s">
        <v>88</v>
      </c>
      <c r="F2017" t="s">
        <v>82</v>
      </c>
      <c r="G2017">
        <v>410</v>
      </c>
      <c r="H2017">
        <v>167.9194</v>
      </c>
      <c r="I2017">
        <v>-68846.953999999998</v>
      </c>
      <c r="K2017">
        <v>167.9194</v>
      </c>
      <c r="L2017">
        <v>-68846.953999999998</v>
      </c>
      <c r="M2017" t="s">
        <v>87</v>
      </c>
      <c r="N2017" t="s">
        <v>572</v>
      </c>
    </row>
    <row r="2018" spans="1:14" x14ac:dyDescent="0.25">
      <c r="A2018" s="18">
        <v>46206</v>
      </c>
      <c r="B2018" t="s">
        <v>289</v>
      </c>
      <c r="C2018" t="s">
        <v>572</v>
      </c>
      <c r="D2018" t="s">
        <v>87</v>
      </c>
      <c r="E2018" t="s">
        <v>88</v>
      </c>
      <c r="F2018" t="s">
        <v>82</v>
      </c>
      <c r="G2018">
        <v>535</v>
      </c>
      <c r="H2018">
        <v>173.69820000000001</v>
      </c>
      <c r="I2018">
        <v>-92928.537000000011</v>
      </c>
      <c r="K2018">
        <v>173.69820000000001</v>
      </c>
      <c r="L2018">
        <v>-92928.537000000011</v>
      </c>
      <c r="M2018" t="s">
        <v>87</v>
      </c>
      <c r="N2018" t="s">
        <v>572</v>
      </c>
    </row>
    <row r="2019" spans="1:14" x14ac:dyDescent="0.25">
      <c r="A2019" s="18">
        <v>46206</v>
      </c>
      <c r="B2019" t="s">
        <v>289</v>
      </c>
      <c r="C2019" t="s">
        <v>314</v>
      </c>
      <c r="D2019" t="s">
        <v>315</v>
      </c>
      <c r="E2019" t="s">
        <v>362</v>
      </c>
      <c r="F2019" t="s">
        <v>21</v>
      </c>
      <c r="G2019">
        <v>3625</v>
      </c>
      <c r="H2019">
        <v>27.23</v>
      </c>
      <c r="I2019">
        <v>-98708.75</v>
      </c>
      <c r="K2019">
        <v>27.23</v>
      </c>
      <c r="L2019">
        <v>-98708.75</v>
      </c>
      <c r="M2019" t="s">
        <v>315</v>
      </c>
      <c r="N2019" t="s">
        <v>314</v>
      </c>
    </row>
    <row r="2020" spans="1:14" x14ac:dyDescent="0.25">
      <c r="A2020" s="18">
        <v>46206</v>
      </c>
      <c r="B2020" t="s">
        <v>289</v>
      </c>
      <c r="C2020" t="s">
        <v>916</v>
      </c>
      <c r="D2020" t="s">
        <v>32</v>
      </c>
      <c r="E2020" t="s">
        <v>33</v>
      </c>
      <c r="F2020" t="s">
        <v>21</v>
      </c>
      <c r="G2020">
        <v>1730</v>
      </c>
      <c r="H2020">
        <v>58.55</v>
      </c>
      <c r="I2020">
        <v>-101291.5</v>
      </c>
      <c r="K2020">
        <v>58.55</v>
      </c>
      <c r="L2020">
        <v>-101291.5</v>
      </c>
      <c r="M2020" t="s">
        <v>32</v>
      </c>
      <c r="N2020" t="s">
        <v>916</v>
      </c>
    </row>
    <row r="2021" spans="1:14" x14ac:dyDescent="0.25">
      <c r="A2021" s="18">
        <v>46206</v>
      </c>
      <c r="B2021" t="s">
        <v>289</v>
      </c>
      <c r="C2021" t="s">
        <v>915</v>
      </c>
      <c r="D2021" t="s">
        <v>70</v>
      </c>
      <c r="E2021" t="s">
        <v>71</v>
      </c>
      <c r="F2021" t="s">
        <v>21</v>
      </c>
      <c r="G2021">
        <v>6359</v>
      </c>
      <c r="H2021">
        <v>16.29</v>
      </c>
      <c r="I2021">
        <v>-103588.11</v>
      </c>
      <c r="K2021">
        <v>16.29</v>
      </c>
      <c r="L2021">
        <v>-103588.11</v>
      </c>
      <c r="M2021" t="s">
        <v>70</v>
      </c>
      <c r="N2021" t="s">
        <v>915</v>
      </c>
    </row>
    <row r="2022" spans="1:14" x14ac:dyDescent="0.25">
      <c r="A2022" s="18">
        <v>46206</v>
      </c>
      <c r="B2022" t="s">
        <v>319</v>
      </c>
      <c r="C2022" t="s">
        <v>771</v>
      </c>
      <c r="D2022" t="s">
        <v>89</v>
      </c>
      <c r="E2022" t="s">
        <v>90</v>
      </c>
      <c r="F2022" t="s">
        <v>21</v>
      </c>
      <c r="G2022">
        <v>-1800</v>
      </c>
      <c r="H2022">
        <v>87.811899999999994</v>
      </c>
      <c r="I2022">
        <v>158061.41999999998</v>
      </c>
      <c r="K2022">
        <v>87.811899999999994</v>
      </c>
      <c r="L2022">
        <v>158061.41999999998</v>
      </c>
      <c r="M2022" t="s">
        <v>89</v>
      </c>
      <c r="N2022" t="s">
        <v>771</v>
      </c>
    </row>
    <row r="2023" spans="1:14" x14ac:dyDescent="0.25">
      <c r="A2023" s="18">
        <v>46206</v>
      </c>
      <c r="B2023" t="s">
        <v>289</v>
      </c>
      <c r="C2023" t="s">
        <v>909</v>
      </c>
      <c r="D2023" t="s">
        <v>131</v>
      </c>
      <c r="E2023" t="s">
        <v>911</v>
      </c>
      <c r="F2023" t="s">
        <v>21</v>
      </c>
      <c r="G2023">
        <v>2</v>
      </c>
      <c r="H2023">
        <v>6428</v>
      </c>
      <c r="I2023">
        <v>-128560</v>
      </c>
      <c r="K2023">
        <v>6428</v>
      </c>
      <c r="L2023">
        <v>-128560</v>
      </c>
      <c r="M2023" t="s">
        <v>131</v>
      </c>
      <c r="N2023" t="s">
        <v>909</v>
      </c>
    </row>
    <row r="2024" spans="1:14" x14ac:dyDescent="0.25">
      <c r="A2024" s="18">
        <v>46206</v>
      </c>
      <c r="B2024" t="s">
        <v>319</v>
      </c>
      <c r="C2024" t="s">
        <v>771</v>
      </c>
      <c r="D2024" t="s">
        <v>89</v>
      </c>
      <c r="E2024" t="s">
        <v>90</v>
      </c>
      <c r="F2024" t="s">
        <v>21</v>
      </c>
      <c r="G2024">
        <v>-4780</v>
      </c>
      <c r="H2024">
        <v>87.926599999999993</v>
      </c>
      <c r="I2024">
        <v>420289.14799999999</v>
      </c>
      <c r="K2024">
        <v>87.926599999999993</v>
      </c>
      <c r="L2024">
        <v>420289.14799999999</v>
      </c>
      <c r="M2024" t="s">
        <v>89</v>
      </c>
      <c r="N2024" t="s">
        <v>771</v>
      </c>
    </row>
    <row r="2025" spans="1:14" x14ac:dyDescent="0.25">
      <c r="A2025" s="18">
        <v>46210</v>
      </c>
      <c r="B2025" t="s">
        <v>319</v>
      </c>
      <c r="C2025" t="s">
        <v>342</v>
      </c>
      <c r="D2025" t="s">
        <v>343</v>
      </c>
      <c r="E2025" t="s">
        <v>282</v>
      </c>
      <c r="F2025" t="s">
        <v>21</v>
      </c>
      <c r="G2025">
        <v>-2300</v>
      </c>
      <c r="H2025">
        <v>80.2072</v>
      </c>
      <c r="I2025">
        <v>184476.56</v>
      </c>
      <c r="K2025">
        <v>80.2072</v>
      </c>
      <c r="L2025">
        <v>184476.56</v>
      </c>
      <c r="M2025" t="s">
        <v>343</v>
      </c>
      <c r="N2025" t="s">
        <v>342</v>
      </c>
    </row>
    <row r="2026" spans="1:14" x14ac:dyDescent="0.25">
      <c r="A2026" s="18">
        <v>46210</v>
      </c>
      <c r="B2026" t="s">
        <v>289</v>
      </c>
      <c r="C2026" t="s">
        <v>572</v>
      </c>
      <c r="D2026" t="s">
        <v>87</v>
      </c>
      <c r="E2026" t="s">
        <v>88</v>
      </c>
      <c r="F2026" t="s">
        <v>82</v>
      </c>
      <c r="G2026">
        <v>980</v>
      </c>
      <c r="H2026">
        <v>173.9323</v>
      </c>
      <c r="I2026">
        <v>-170453.65400000001</v>
      </c>
      <c r="K2026">
        <v>173.9323</v>
      </c>
      <c r="L2026">
        <v>-170453.65400000001</v>
      </c>
      <c r="M2026" t="s">
        <v>87</v>
      </c>
      <c r="N2026" t="s">
        <v>572</v>
      </c>
    </row>
    <row r="2027" spans="1:14" x14ac:dyDescent="0.25">
      <c r="A2027" s="18">
        <v>46210</v>
      </c>
      <c r="B2027" t="s">
        <v>319</v>
      </c>
      <c r="C2027" t="s">
        <v>424</v>
      </c>
      <c r="D2027" t="s">
        <v>41</v>
      </c>
      <c r="E2027" t="s">
        <v>42</v>
      </c>
      <c r="F2027" t="s">
        <v>36</v>
      </c>
      <c r="G2027">
        <v>-17100</v>
      </c>
      <c r="H2027">
        <v>14.785</v>
      </c>
      <c r="I2027">
        <v>252823.5</v>
      </c>
      <c r="K2027">
        <v>14.785</v>
      </c>
      <c r="L2027">
        <v>252823.5</v>
      </c>
      <c r="M2027" t="s">
        <v>41</v>
      </c>
      <c r="N2027" t="s">
        <v>424</v>
      </c>
    </row>
    <row r="2028" spans="1:14" x14ac:dyDescent="0.25">
      <c r="A2028" s="18">
        <v>46210</v>
      </c>
      <c r="B2028" t="s">
        <v>289</v>
      </c>
      <c r="C2028" t="s">
        <v>917</v>
      </c>
      <c r="D2028" t="s">
        <v>91</v>
      </c>
      <c r="E2028" t="s">
        <v>92</v>
      </c>
      <c r="F2028" t="s">
        <v>21</v>
      </c>
      <c r="G2028">
        <v>800</v>
      </c>
      <c r="H2028">
        <v>375.40129999999999</v>
      </c>
      <c r="I2028">
        <v>-300321.03999999998</v>
      </c>
      <c r="K2028">
        <v>375.40129999999999</v>
      </c>
      <c r="L2028">
        <v>-300321.03999999998</v>
      </c>
      <c r="M2028" t="s">
        <v>91</v>
      </c>
      <c r="N2028" t="s">
        <v>917</v>
      </c>
    </row>
    <row r="2029" spans="1:14" x14ac:dyDescent="0.25">
      <c r="A2029" s="18">
        <v>46211</v>
      </c>
      <c r="B2029" t="s">
        <v>289</v>
      </c>
      <c r="C2029" t="s">
        <v>386</v>
      </c>
      <c r="D2029" t="s">
        <v>60</v>
      </c>
      <c r="E2029" t="s">
        <v>387</v>
      </c>
      <c r="F2029" t="s">
        <v>21</v>
      </c>
      <c r="G2029">
        <v>2589</v>
      </c>
      <c r="H2029">
        <v>55.97</v>
      </c>
      <c r="I2029">
        <v>-144906.32999999999</v>
      </c>
      <c r="K2029">
        <v>55.969999999999992</v>
      </c>
      <c r="L2029">
        <v>-144906.32999999999</v>
      </c>
      <c r="M2029" t="s">
        <v>60</v>
      </c>
      <c r="N2029" t="s">
        <v>386</v>
      </c>
    </row>
    <row r="2030" spans="1:14" x14ac:dyDescent="0.25">
      <c r="A2030" s="18">
        <v>46211</v>
      </c>
      <c r="B2030" t="s">
        <v>319</v>
      </c>
      <c r="C2030" t="s">
        <v>744</v>
      </c>
      <c r="D2030" t="s">
        <v>56</v>
      </c>
      <c r="E2030" t="s">
        <v>745</v>
      </c>
      <c r="F2030" t="s">
        <v>21</v>
      </c>
      <c r="G2030">
        <v>-3890</v>
      </c>
      <c r="H2030">
        <v>37.61</v>
      </c>
      <c r="I2030">
        <v>146302.9</v>
      </c>
      <c r="K2030">
        <v>37.61</v>
      </c>
      <c r="L2030">
        <v>146302.9</v>
      </c>
      <c r="M2030" t="s">
        <v>56</v>
      </c>
      <c r="N2030" t="s">
        <v>744</v>
      </c>
    </row>
    <row r="2031" spans="1:14" x14ac:dyDescent="0.25">
      <c r="A2031" s="18">
        <v>46211</v>
      </c>
      <c r="B2031" t="s">
        <v>319</v>
      </c>
      <c r="C2031" t="s">
        <v>868</v>
      </c>
      <c r="D2031" t="s">
        <v>24</v>
      </c>
      <c r="E2031" t="s">
        <v>25</v>
      </c>
      <c r="F2031" t="s">
        <v>21</v>
      </c>
      <c r="G2031">
        <v>-305</v>
      </c>
      <c r="H2031">
        <v>481</v>
      </c>
      <c r="I2031">
        <v>146705</v>
      </c>
      <c r="K2031">
        <v>481</v>
      </c>
      <c r="L2031">
        <v>146705</v>
      </c>
      <c r="M2031" t="s">
        <v>24</v>
      </c>
      <c r="N2031" t="s">
        <v>868</v>
      </c>
    </row>
    <row r="2032" spans="1:14" x14ac:dyDescent="0.25">
      <c r="A2032" s="18">
        <v>46211</v>
      </c>
      <c r="B2032" t="s">
        <v>289</v>
      </c>
      <c r="C2032" t="s">
        <v>896</v>
      </c>
      <c r="D2032" t="s">
        <v>144</v>
      </c>
      <c r="E2032" t="s">
        <v>897</v>
      </c>
      <c r="F2032" t="s">
        <v>21</v>
      </c>
      <c r="G2032">
        <v>1</v>
      </c>
      <c r="H2032">
        <v>120.63</v>
      </c>
      <c r="I2032">
        <v>-120630</v>
      </c>
      <c r="K2032">
        <v>120.63</v>
      </c>
      <c r="L2032">
        <v>-120630</v>
      </c>
      <c r="M2032" t="s">
        <v>144</v>
      </c>
      <c r="N2032" t="s">
        <v>896</v>
      </c>
    </row>
    <row r="2033" spans="1:14" x14ac:dyDescent="0.25">
      <c r="A2033" s="18">
        <v>46211</v>
      </c>
      <c r="B2033" t="s">
        <v>319</v>
      </c>
      <c r="C2033" t="s">
        <v>582</v>
      </c>
      <c r="D2033" t="s">
        <v>83</v>
      </c>
      <c r="E2033" t="s">
        <v>583</v>
      </c>
      <c r="F2033" t="s">
        <v>82</v>
      </c>
      <c r="G2033">
        <v>-750</v>
      </c>
      <c r="H2033">
        <v>178.47720000000001</v>
      </c>
      <c r="I2033">
        <v>133857.9</v>
      </c>
      <c r="K2033">
        <v>178.47719999999998</v>
      </c>
      <c r="L2033">
        <v>133857.9</v>
      </c>
      <c r="M2033" t="s">
        <v>83</v>
      </c>
      <c r="N2033" t="s">
        <v>582</v>
      </c>
    </row>
    <row r="2034" spans="1:14" x14ac:dyDescent="0.25">
      <c r="A2034" s="18">
        <v>46211</v>
      </c>
      <c r="B2034" t="s">
        <v>289</v>
      </c>
      <c r="C2034" t="s">
        <v>917</v>
      </c>
      <c r="D2034" t="s">
        <v>91</v>
      </c>
      <c r="E2034" t="s">
        <v>92</v>
      </c>
      <c r="F2034" t="s">
        <v>21</v>
      </c>
      <c r="G2034">
        <v>410</v>
      </c>
      <c r="H2034">
        <v>355.94819999999999</v>
      </c>
      <c r="I2034">
        <v>-145938.76199999999</v>
      </c>
      <c r="K2034">
        <v>355.94819999999999</v>
      </c>
      <c r="L2034">
        <v>-145938.76199999999</v>
      </c>
      <c r="M2034" t="s">
        <v>91</v>
      </c>
      <c r="N2034" t="s">
        <v>917</v>
      </c>
    </row>
    <row r="2035" spans="1:14" x14ac:dyDescent="0.25">
      <c r="A2035" s="18">
        <v>46211</v>
      </c>
      <c r="B2035" t="s">
        <v>319</v>
      </c>
      <c r="C2035" t="s">
        <v>477</v>
      </c>
      <c r="D2035" t="s">
        <v>478</v>
      </c>
      <c r="E2035" t="s">
        <v>277</v>
      </c>
      <c r="F2035" t="s">
        <v>157</v>
      </c>
      <c r="G2035">
        <v>-5799</v>
      </c>
      <c r="H2035">
        <v>177.45</v>
      </c>
      <c r="I2035">
        <v>1029032.5499999999</v>
      </c>
      <c r="K2035">
        <v>177.45</v>
      </c>
      <c r="L2035">
        <v>1029032.5499999999</v>
      </c>
      <c r="M2035" t="s">
        <v>478</v>
      </c>
      <c r="N2035" t="s">
        <v>477</v>
      </c>
    </row>
    <row r="2036" spans="1:14" x14ac:dyDescent="0.25">
      <c r="A2036" s="18">
        <v>46211</v>
      </c>
      <c r="B2036" t="s">
        <v>289</v>
      </c>
      <c r="C2036" t="s">
        <v>896</v>
      </c>
      <c r="D2036" t="s">
        <v>144</v>
      </c>
      <c r="E2036" t="s">
        <v>897</v>
      </c>
      <c r="F2036" t="s">
        <v>21</v>
      </c>
      <c r="G2036">
        <v>1</v>
      </c>
      <c r="H2036">
        <v>120.55</v>
      </c>
      <c r="I2036">
        <v>-120550</v>
      </c>
      <c r="K2036">
        <v>120.55</v>
      </c>
      <c r="L2036">
        <v>-120550</v>
      </c>
      <c r="M2036" t="s">
        <v>144</v>
      </c>
      <c r="N2036" t="s">
        <v>896</v>
      </c>
    </row>
    <row r="2037" spans="1:14" x14ac:dyDescent="0.25">
      <c r="A2037" s="18">
        <v>46216</v>
      </c>
      <c r="B2037" t="s">
        <v>319</v>
      </c>
      <c r="C2037" t="s">
        <v>918</v>
      </c>
      <c r="D2037" t="s">
        <v>129</v>
      </c>
      <c r="E2037" t="s">
        <v>919</v>
      </c>
      <c r="F2037" t="s">
        <v>21</v>
      </c>
      <c r="G2037">
        <v>-12</v>
      </c>
      <c r="H2037">
        <v>8336.2332999999999</v>
      </c>
      <c r="I2037">
        <v>1000347.996</v>
      </c>
      <c r="K2037">
        <v>8336.2332999999999</v>
      </c>
      <c r="L2037">
        <v>1000347.996</v>
      </c>
      <c r="M2037" t="s">
        <v>129</v>
      </c>
      <c r="N2037" t="s">
        <v>918</v>
      </c>
    </row>
    <row r="2038" spans="1:14" x14ac:dyDescent="0.25">
      <c r="A2038" s="18">
        <v>46216</v>
      </c>
      <c r="B2038" t="s">
        <v>289</v>
      </c>
      <c r="C2038" t="s">
        <v>906</v>
      </c>
      <c r="D2038" t="s">
        <v>907</v>
      </c>
      <c r="E2038" t="s">
        <v>908</v>
      </c>
      <c r="F2038" t="s">
        <v>21</v>
      </c>
      <c r="G2038">
        <v>12</v>
      </c>
      <c r="H2038">
        <v>8315.9</v>
      </c>
      <c r="I2038">
        <v>-997907.99999999988</v>
      </c>
      <c r="K2038">
        <v>8315.8999999999978</v>
      </c>
      <c r="L2038">
        <v>-997907.99999999988</v>
      </c>
      <c r="M2038" t="s">
        <v>907</v>
      </c>
      <c r="N2038" t="s">
        <v>906</v>
      </c>
    </row>
    <row r="2039" spans="1:14" x14ac:dyDescent="0.25">
      <c r="A2039" s="18">
        <v>46219</v>
      </c>
      <c r="B2039" t="s">
        <v>319</v>
      </c>
      <c r="C2039" t="s">
        <v>435</v>
      </c>
      <c r="D2039" t="s">
        <v>99</v>
      </c>
      <c r="E2039" t="s">
        <v>100</v>
      </c>
      <c r="F2039" t="s">
        <v>21</v>
      </c>
      <c r="G2039">
        <v>-25100</v>
      </c>
      <c r="H2039">
        <v>11.8895</v>
      </c>
      <c r="I2039">
        <v>298426.45</v>
      </c>
      <c r="K2039">
        <v>11.8895</v>
      </c>
      <c r="L2039">
        <v>298426.45</v>
      </c>
      <c r="M2039" t="s">
        <v>99</v>
      </c>
      <c r="N2039" t="s">
        <v>435</v>
      </c>
    </row>
    <row r="2040" spans="1:14" x14ac:dyDescent="0.25">
      <c r="A2040" s="18">
        <v>46219</v>
      </c>
      <c r="B2040" t="s">
        <v>289</v>
      </c>
      <c r="C2040" t="s">
        <v>791</v>
      </c>
      <c r="D2040" t="s">
        <v>85</v>
      </c>
      <c r="E2040" t="s">
        <v>86</v>
      </c>
      <c r="F2040" t="s">
        <v>82</v>
      </c>
      <c r="G2040">
        <v>292</v>
      </c>
      <c r="H2040">
        <v>235.62190000000001</v>
      </c>
      <c r="I2040">
        <v>-68801.594800000006</v>
      </c>
      <c r="K2040">
        <v>235.62190000000001</v>
      </c>
      <c r="L2040">
        <v>-68801.594800000006</v>
      </c>
      <c r="M2040" t="s">
        <v>85</v>
      </c>
      <c r="N2040" t="s">
        <v>791</v>
      </c>
    </row>
    <row r="2041" spans="1:14" x14ac:dyDescent="0.25">
      <c r="A2041" s="18">
        <v>46219</v>
      </c>
      <c r="B2041" t="s">
        <v>289</v>
      </c>
      <c r="C2041" t="s">
        <v>868</v>
      </c>
      <c r="D2041" t="s">
        <v>24</v>
      </c>
      <c r="E2041" t="s">
        <v>25</v>
      </c>
      <c r="F2041" t="s">
        <v>21</v>
      </c>
      <c r="G2041">
        <v>202</v>
      </c>
      <c r="H2041">
        <v>501.55</v>
      </c>
      <c r="I2041">
        <v>-101313.1</v>
      </c>
      <c r="K2041">
        <v>501.55</v>
      </c>
      <c r="L2041">
        <v>-101313.1</v>
      </c>
      <c r="M2041" t="s">
        <v>24</v>
      </c>
      <c r="N2041" t="s">
        <v>868</v>
      </c>
    </row>
    <row r="2042" spans="1:14" x14ac:dyDescent="0.25">
      <c r="A2042" s="18">
        <v>46219</v>
      </c>
      <c r="B2042" t="s">
        <v>289</v>
      </c>
      <c r="C2042" t="s">
        <v>744</v>
      </c>
      <c r="D2042" t="s">
        <v>56</v>
      </c>
      <c r="E2042" t="s">
        <v>745</v>
      </c>
      <c r="F2042" t="s">
        <v>21</v>
      </c>
      <c r="G2042">
        <v>2000</v>
      </c>
      <c r="H2042">
        <v>37.994999999999997</v>
      </c>
      <c r="I2042">
        <v>-75990</v>
      </c>
      <c r="K2042">
        <v>37.994999999999997</v>
      </c>
      <c r="L2042">
        <v>-75990</v>
      </c>
      <c r="M2042" t="s">
        <v>56</v>
      </c>
      <c r="N2042" t="s">
        <v>744</v>
      </c>
    </row>
    <row r="2043" spans="1:14" x14ac:dyDescent="0.25">
      <c r="A2043" s="18">
        <v>46219</v>
      </c>
      <c r="B2043" t="s">
        <v>289</v>
      </c>
      <c r="C2043" t="s">
        <v>294</v>
      </c>
      <c r="D2043" t="s">
        <v>80</v>
      </c>
      <c r="E2043" t="s">
        <v>505</v>
      </c>
      <c r="F2043" t="s">
        <v>82</v>
      </c>
      <c r="G2043">
        <v>610</v>
      </c>
      <c r="H2043">
        <v>74.8</v>
      </c>
      <c r="I2043">
        <v>-45628</v>
      </c>
      <c r="K2043">
        <v>74.8</v>
      </c>
      <c r="L2043">
        <v>-45628</v>
      </c>
      <c r="M2043" t="s">
        <v>80</v>
      </c>
      <c r="N2043" t="s">
        <v>294</v>
      </c>
    </row>
    <row r="2044" spans="1:14" x14ac:dyDescent="0.25">
      <c r="A2044" s="18">
        <v>46223</v>
      </c>
      <c r="B2044" t="s">
        <v>319</v>
      </c>
      <c r="C2044" t="s">
        <v>314</v>
      </c>
      <c r="D2044" t="s">
        <v>315</v>
      </c>
      <c r="E2044" t="s">
        <v>362</v>
      </c>
      <c r="F2044" t="s">
        <v>21</v>
      </c>
      <c r="G2044">
        <v>-7800</v>
      </c>
      <c r="H2044">
        <v>24.61</v>
      </c>
      <c r="I2044">
        <v>191958</v>
      </c>
      <c r="K2044">
        <v>24.61</v>
      </c>
      <c r="L2044">
        <v>191958</v>
      </c>
      <c r="M2044" t="s">
        <v>315</v>
      </c>
      <c r="N2044" t="s">
        <v>314</v>
      </c>
    </row>
    <row r="2045" spans="1:14" x14ac:dyDescent="0.25">
      <c r="A2045" s="18">
        <v>46223</v>
      </c>
      <c r="B2045" t="s">
        <v>319</v>
      </c>
      <c r="C2045" t="s">
        <v>314</v>
      </c>
      <c r="D2045" t="s">
        <v>315</v>
      </c>
      <c r="E2045" t="s">
        <v>362</v>
      </c>
      <c r="F2045" t="s">
        <v>21</v>
      </c>
      <c r="G2045">
        <v>-4000</v>
      </c>
      <c r="H2045">
        <v>24.387699999999999</v>
      </c>
      <c r="I2045">
        <v>97550.799999999988</v>
      </c>
      <c r="K2045">
        <v>24.387699999999999</v>
      </c>
      <c r="L2045">
        <v>97550.799999999988</v>
      </c>
      <c r="M2045" t="s">
        <v>315</v>
      </c>
      <c r="N2045" t="s">
        <v>314</v>
      </c>
    </row>
    <row r="2046" spans="1:14" x14ac:dyDescent="0.25">
      <c r="A2046" s="18">
        <v>46223</v>
      </c>
      <c r="B2046" t="s">
        <v>319</v>
      </c>
      <c r="C2046" t="s">
        <v>314</v>
      </c>
      <c r="D2046" t="s">
        <v>315</v>
      </c>
      <c r="E2046" t="s">
        <v>362</v>
      </c>
      <c r="F2046" t="s">
        <v>21</v>
      </c>
      <c r="G2046">
        <v>-7784</v>
      </c>
      <c r="H2046">
        <v>24.78</v>
      </c>
      <c r="I2046">
        <v>192887.52000000002</v>
      </c>
      <c r="K2046">
        <v>24.78</v>
      </c>
      <c r="L2046">
        <v>192887.52000000002</v>
      </c>
      <c r="M2046" t="s">
        <v>315</v>
      </c>
      <c r="N2046" t="s">
        <v>314</v>
      </c>
    </row>
    <row r="2047" spans="1:14" x14ac:dyDescent="0.25">
      <c r="A2047" s="18">
        <v>46223</v>
      </c>
      <c r="B2047" t="s">
        <v>289</v>
      </c>
      <c r="C2047" t="s">
        <v>572</v>
      </c>
      <c r="D2047" t="s">
        <v>87</v>
      </c>
      <c r="E2047" t="s">
        <v>88</v>
      </c>
      <c r="F2047" t="s">
        <v>82</v>
      </c>
      <c r="G2047">
        <v>292</v>
      </c>
      <c r="H2047">
        <v>155.4</v>
      </c>
      <c r="I2047">
        <v>-45376.800000000003</v>
      </c>
      <c r="K2047">
        <v>155.4</v>
      </c>
      <c r="L2047">
        <v>-45376.800000000003</v>
      </c>
      <c r="M2047" t="s">
        <v>87</v>
      </c>
      <c r="N2047" t="s">
        <v>572</v>
      </c>
    </row>
    <row r="2048" spans="1:14" x14ac:dyDescent="0.25">
      <c r="A2048" s="18">
        <v>46223</v>
      </c>
      <c r="B2048" t="s">
        <v>289</v>
      </c>
      <c r="C2048" t="s">
        <v>578</v>
      </c>
      <c r="D2048" t="s">
        <v>74</v>
      </c>
      <c r="E2048" t="s">
        <v>75</v>
      </c>
      <c r="F2048" t="s">
        <v>36</v>
      </c>
      <c r="G2048">
        <v>24299</v>
      </c>
      <c r="H2048">
        <v>1.6293</v>
      </c>
      <c r="I2048">
        <v>-39590.360699999997</v>
      </c>
      <c r="K2048">
        <v>1.6293</v>
      </c>
      <c r="L2048">
        <v>-39590.360699999997</v>
      </c>
      <c r="M2048" t="s">
        <v>74</v>
      </c>
      <c r="N2048" t="s">
        <v>578</v>
      </c>
    </row>
    <row r="2049" spans="1:14" x14ac:dyDescent="0.25">
      <c r="A2049" s="18">
        <v>46225</v>
      </c>
      <c r="B2049" t="s">
        <v>289</v>
      </c>
      <c r="C2049" t="s">
        <v>361</v>
      </c>
      <c r="D2049" t="s">
        <v>93</v>
      </c>
      <c r="E2049" t="s">
        <v>94</v>
      </c>
      <c r="F2049" t="s">
        <v>21</v>
      </c>
      <c r="G2049">
        <v>317</v>
      </c>
      <c r="H2049">
        <v>151.0686</v>
      </c>
      <c r="I2049">
        <v>-47888.746200000001</v>
      </c>
      <c r="K2049">
        <v>151.0686</v>
      </c>
      <c r="L2049">
        <v>-47888.746200000001</v>
      </c>
      <c r="M2049" t="s">
        <v>93</v>
      </c>
      <c r="N2049" t="s">
        <v>361</v>
      </c>
    </row>
    <row r="2050" spans="1:14" x14ac:dyDescent="0.25">
      <c r="A2050" s="18">
        <v>46227</v>
      </c>
      <c r="B2050" t="s">
        <v>319</v>
      </c>
      <c r="C2050" t="s">
        <v>361</v>
      </c>
      <c r="D2050" t="s">
        <v>93</v>
      </c>
      <c r="E2050" t="s">
        <v>94</v>
      </c>
      <c r="F2050" t="s">
        <v>21</v>
      </c>
      <c r="G2050">
        <v>-1330</v>
      </c>
      <c r="H2050">
        <v>150.2825</v>
      </c>
      <c r="I2050">
        <v>199875.72500000001</v>
      </c>
      <c r="K2050">
        <v>150.2825</v>
      </c>
      <c r="L2050">
        <v>199875.72500000001</v>
      </c>
      <c r="M2050" t="s">
        <v>93</v>
      </c>
      <c r="N2050" t="s">
        <v>361</v>
      </c>
    </row>
    <row r="2051" spans="1:14" x14ac:dyDescent="0.25">
      <c r="A2051" s="18">
        <v>46227</v>
      </c>
      <c r="B2051" t="s">
        <v>289</v>
      </c>
      <c r="C2051" t="s">
        <v>641</v>
      </c>
      <c r="D2051" t="s">
        <v>37</v>
      </c>
      <c r="E2051" t="s">
        <v>38</v>
      </c>
      <c r="F2051" t="s">
        <v>36</v>
      </c>
      <c r="G2051">
        <v>3500</v>
      </c>
      <c r="H2051">
        <v>25.4405</v>
      </c>
      <c r="I2051">
        <v>-89041.75</v>
      </c>
      <c r="K2051">
        <v>25.4405</v>
      </c>
      <c r="L2051">
        <v>-89041.75</v>
      </c>
      <c r="M2051" t="s">
        <v>37</v>
      </c>
      <c r="N2051" t="s">
        <v>641</v>
      </c>
    </row>
    <row r="2052" spans="1:14" x14ac:dyDescent="0.25">
      <c r="A2052" s="18">
        <v>46227</v>
      </c>
      <c r="B2052" t="s">
        <v>289</v>
      </c>
      <c r="C2052" t="s">
        <v>904</v>
      </c>
      <c r="D2052" t="s">
        <v>72</v>
      </c>
      <c r="E2052" t="s">
        <v>73</v>
      </c>
      <c r="F2052" t="s">
        <v>21</v>
      </c>
      <c r="G2052">
        <v>870</v>
      </c>
      <c r="H2052">
        <v>56.594099999999997</v>
      </c>
      <c r="I2052">
        <v>-49236.866999999998</v>
      </c>
      <c r="K2052">
        <v>56.594099999999997</v>
      </c>
      <c r="L2052">
        <v>-49236.866999999998</v>
      </c>
      <c r="M2052" t="s">
        <v>72</v>
      </c>
      <c r="N2052" t="s">
        <v>904</v>
      </c>
    </row>
    <row r="2053" spans="1:14" x14ac:dyDescent="0.25">
      <c r="A2053" s="18">
        <v>46227</v>
      </c>
      <c r="B2053" t="s">
        <v>289</v>
      </c>
      <c r="C2053" t="s">
        <v>915</v>
      </c>
      <c r="D2053" t="s">
        <v>70</v>
      </c>
      <c r="E2053" t="s">
        <v>71</v>
      </c>
      <c r="F2053" t="s">
        <v>21</v>
      </c>
      <c r="G2053">
        <v>3100</v>
      </c>
      <c r="H2053">
        <v>18.023700000000002</v>
      </c>
      <c r="I2053">
        <v>-55873.470000000008</v>
      </c>
      <c r="K2053">
        <v>18.023700000000002</v>
      </c>
      <c r="L2053">
        <v>-55873.470000000008</v>
      </c>
      <c r="M2053" t="s">
        <v>70</v>
      </c>
      <c r="N2053" t="s">
        <v>915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6b52429-d062-4a6c-8ec9-3483a7c67a8e" xsi:nil="true"/>
    <lcf76f155ced4ddcb4097134ff3c332f xmlns="53ed5227-bca3-42e5-9062-41a3917fb55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2FB79C6F5791E42B658AE7D9B303BFC" ma:contentTypeVersion="12" ma:contentTypeDescription="Crée un document." ma:contentTypeScope="" ma:versionID="e36da6da4cbea03be6350b19ead8753b">
  <xsd:schema xmlns:xsd="http://www.w3.org/2001/XMLSchema" xmlns:xs="http://www.w3.org/2001/XMLSchema" xmlns:p="http://schemas.microsoft.com/office/2006/metadata/properties" xmlns:ns2="53ed5227-bca3-42e5-9062-41a3917fb55e" xmlns:ns3="56b52429-d062-4a6c-8ec9-3483a7c67a8e" targetNamespace="http://schemas.microsoft.com/office/2006/metadata/properties" ma:root="true" ma:fieldsID="ccdc18d0a214048e4e0fda1354e7240e" ns2:_="" ns3:_="">
    <xsd:import namespace="53ed5227-bca3-42e5-9062-41a3917fb55e"/>
    <xsd:import namespace="56b52429-d062-4a6c-8ec9-3483a7c67a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ed5227-bca3-42e5-9062-41a3917fb5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f52f2096-085b-4484-a316-e3392cdd44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b52429-d062-4a6c-8ec9-3483a7c67a8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fe30e69-4006-4b73-a4ff-73a0275622a7}" ma:internalName="TaxCatchAll" ma:showField="CatchAllData" ma:web="56b52429-d062-4a6c-8ec9-3483a7c67a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41F5C9B-FBDD-4076-868C-760E14F65A57}">
  <ds:schemaRefs>
    <ds:schemaRef ds:uri="http://schemas.microsoft.com/office/2006/metadata/properties"/>
    <ds:schemaRef ds:uri="http://schemas.microsoft.com/office/infopath/2007/PartnerControls"/>
    <ds:schemaRef ds:uri="56b52429-d062-4a6c-8ec9-3483a7c67a8e"/>
    <ds:schemaRef ds:uri="53ed5227-bca3-42e5-9062-41a3917fb55e"/>
  </ds:schemaRefs>
</ds:datastoreItem>
</file>

<file path=customXml/itemProps2.xml><?xml version="1.0" encoding="utf-8"?>
<ds:datastoreItem xmlns:ds="http://schemas.openxmlformats.org/officeDocument/2006/customXml" ds:itemID="{65BC2C20-9BD6-4266-9FBB-521CD82BE39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E29A7A-8E8C-4778-9EFE-7B552462EA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ed5227-bca3-42e5-9062-41a3917fb55e"/>
    <ds:schemaRef ds:uri="56b52429-d062-4a6c-8ec9-3483a7c67a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PORTEFEUILLE_NAV</vt:lpstr>
      <vt:lpstr>HISTO_NAV</vt:lpstr>
      <vt:lpstr>DIV</vt:lpstr>
      <vt:lpstr>OPERATIONS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Carrafang</dc:creator>
  <cp:lastModifiedBy>Laurent Runacher</cp:lastModifiedBy>
  <dcterms:created xsi:type="dcterms:W3CDTF">2026-07-27T14:43:24Z</dcterms:created>
  <dcterms:modified xsi:type="dcterms:W3CDTF">2026-07-30T15:11:06Z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0x01010012FB79C6F5791E42B658AE7D9B303BFC</vt:lpwstr>
  </property>
</Properties>
</file>